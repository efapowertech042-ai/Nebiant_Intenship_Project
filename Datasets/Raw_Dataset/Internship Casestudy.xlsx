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werNation\Desktop\My_Data_Science_Projects\Nebiant_Intenship_Project\Datasets\Raw_Dataset\"/>
    </mc:Choice>
  </mc:AlternateContent>
  <bookViews>
    <workbookView xWindow="0" yWindow="0" windowWidth="11670" windowHeight="457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495" i="1" l="1"/>
  <c r="N494" i="1"/>
  <c r="N492" i="1"/>
  <c r="N491" i="1"/>
  <c r="N489" i="1"/>
  <c r="N488" i="1"/>
  <c r="N487" i="1"/>
  <c r="N486" i="1"/>
  <c r="N485" i="1"/>
  <c r="N484" i="1"/>
  <c r="N483" i="1"/>
  <c r="N468" i="1"/>
  <c r="N467" i="1"/>
  <c r="N464" i="1"/>
  <c r="N463" i="1"/>
  <c r="N462" i="1"/>
  <c r="N461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4" i="1"/>
  <c r="N443" i="1"/>
  <c r="N442" i="1"/>
  <c r="N440" i="1"/>
  <c r="N439" i="1"/>
  <c r="N438" i="1"/>
  <c r="N437" i="1"/>
  <c r="N436" i="1"/>
  <c r="N435" i="1"/>
  <c r="N434" i="1"/>
  <c r="N433" i="1"/>
  <c r="N432" i="1"/>
  <c r="N430" i="1"/>
  <c r="N429" i="1"/>
  <c r="N427" i="1"/>
  <c r="N425" i="1"/>
  <c r="N424" i="1"/>
  <c r="N423" i="1"/>
  <c r="N422" i="1"/>
  <c r="N420" i="1"/>
  <c r="N418" i="1"/>
  <c r="N417" i="1"/>
  <c r="N416" i="1"/>
  <c r="N415" i="1"/>
  <c r="N414" i="1"/>
  <c r="N413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5" i="1"/>
  <c r="N364" i="1"/>
  <c r="N362" i="1"/>
  <c r="N361" i="1"/>
  <c r="N359" i="1"/>
  <c r="N358" i="1"/>
  <c r="N356" i="1"/>
  <c r="N355" i="1"/>
  <c r="N354" i="1"/>
  <c r="N352" i="1"/>
  <c r="N350" i="1"/>
  <c r="N349" i="1"/>
  <c r="N348" i="1"/>
  <c r="N346" i="1"/>
  <c r="N344" i="1"/>
  <c r="N343" i="1"/>
  <c r="N342" i="1"/>
  <c r="N341" i="1"/>
  <c r="N339" i="1"/>
  <c r="N338" i="1"/>
  <c r="N335" i="1"/>
  <c r="N334" i="1"/>
  <c r="N333" i="1"/>
  <c r="N332" i="1"/>
  <c r="N330" i="1"/>
  <c r="N329" i="1"/>
  <c r="N328" i="1"/>
  <c r="N327" i="1"/>
  <c r="N326" i="1"/>
  <c r="N325" i="1"/>
  <c r="N324" i="1"/>
  <c r="N323" i="1"/>
  <c r="N314" i="1"/>
  <c r="N312" i="1"/>
  <c r="N311" i="1"/>
  <c r="N309" i="1"/>
  <c r="N308" i="1"/>
  <c r="N307" i="1"/>
  <c r="N306" i="1"/>
  <c r="N304" i="1"/>
  <c r="N303" i="1"/>
  <c r="N302" i="1"/>
  <c r="N300" i="1"/>
  <c r="N299" i="1"/>
  <c r="N297" i="1"/>
  <c r="N296" i="1"/>
  <c r="N295" i="1"/>
  <c r="N294" i="1"/>
  <c r="N293" i="1"/>
  <c r="N292" i="1"/>
  <c r="N290" i="1"/>
  <c r="N289" i="1"/>
  <c r="N288" i="1"/>
  <c r="N287" i="1"/>
  <c r="N286" i="1"/>
  <c r="N285" i="1"/>
  <c r="N284" i="1"/>
  <c r="N283" i="1"/>
  <c r="N282" i="1"/>
  <c r="N281" i="1"/>
  <c r="N279" i="1"/>
  <c r="N278" i="1"/>
  <c r="N277" i="1"/>
  <c r="N276" i="1"/>
  <c r="N275" i="1"/>
  <c r="N274" i="1"/>
  <c r="N273" i="1"/>
  <c r="N272" i="1"/>
  <c r="N270" i="1"/>
  <c r="N269" i="1"/>
  <c r="N267" i="1"/>
  <c r="N266" i="1"/>
  <c r="N265" i="1"/>
  <c r="N264" i="1"/>
  <c r="N263" i="1"/>
  <c r="N262" i="1"/>
  <c r="N261" i="1"/>
  <c r="N260" i="1"/>
  <c r="N259" i="1"/>
  <c r="N256" i="1"/>
  <c r="N255" i="1"/>
  <c r="N253" i="1"/>
  <c r="N251" i="1"/>
  <c r="N250" i="1"/>
  <c r="N248" i="1"/>
  <c r="N247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5" i="1"/>
  <c r="N174" i="1"/>
  <c r="N172" i="1"/>
  <c r="N171" i="1"/>
  <c r="N170" i="1"/>
  <c r="N169" i="1"/>
  <c r="N168" i="1"/>
  <c r="N166" i="1"/>
  <c r="N165" i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5" i="1"/>
  <c r="N133" i="1"/>
  <c r="N132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4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3" i="1"/>
  <c r="N92" i="1"/>
  <c r="N89" i="1"/>
  <c r="N84" i="1"/>
  <c r="N83" i="1"/>
  <c r="N77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3" i="1"/>
  <c r="N52" i="1"/>
  <c r="N51" i="1"/>
  <c r="N50" i="1"/>
  <c r="N49" i="1"/>
  <c r="N48" i="1"/>
  <c r="N44" i="1"/>
  <c r="N43" i="1"/>
  <c r="N42" i="1"/>
  <c r="N41" i="1"/>
  <c r="N40" i="1"/>
  <c r="N39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8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<sst xmlns="http://schemas.openxmlformats.org/spreadsheetml/2006/main" count="514" uniqueCount="37">
  <si>
    <t>Week</t>
  </si>
  <si>
    <t>Address</t>
  </si>
  <si>
    <t>Number of delivered orders</t>
  </si>
  <si>
    <t>Basket size</t>
  </si>
  <si>
    <t>Bad rated orders due to wrong or Missing Products</t>
  </si>
  <si>
    <t>Bad rated orders due to store packaging Issues</t>
  </si>
  <si>
    <t>Bad rated orders due to store allergy not considered</t>
  </si>
  <si>
    <t>Bad rated orders due to to  Poor Quality</t>
  </si>
  <si>
    <t>Cancelled Orders Due to Customer Absent</t>
  </si>
  <si>
    <t>Cancelled Orders due to Partner Printer/internet issue</t>
  </si>
  <si>
    <t>Cancelled Orders Due to Partner Products Not Available</t>
  </si>
  <si>
    <t>Cancelled Orders Due to Partner Store Closed</t>
  </si>
  <si>
    <t>Cancelled Orders Due to Store Cant Deliver</t>
  </si>
  <si>
    <t>Refunds to customer</t>
  </si>
  <si>
    <t>Av. de Monforte de Lemos, 12, Madrid, Spain</t>
  </si>
  <si>
    <t>Calle Albacete 10, Madrid, Spain</t>
  </si>
  <si>
    <t>Nuñez de Balboa 118, Madrid, Spain</t>
  </si>
  <si>
    <t>Calle Aracne, Madrid, Spain</t>
  </si>
  <si>
    <t>Calle de Alonso Cano 32, Madrid, Spain</t>
  </si>
  <si>
    <t>Calle Campezo, 20, 28022 Madrid, España</t>
  </si>
  <si>
    <t>Calle de Alcalá, 300, 28027 Madrid, Spain</t>
  </si>
  <si>
    <t>Calle de Gran Via, 100, 28027 Madrid, España</t>
  </si>
  <si>
    <t>Calle de Bravo Murillo, 380, Madrid, Spain</t>
  </si>
  <si>
    <t>Calle de la Fuente Carrantona, 50, 28030 Madrid, España</t>
  </si>
  <si>
    <t>Calle de Maqueda, 100, Madrid, Spain</t>
  </si>
  <si>
    <t>Calle de San Bernardo, 80, Madrid, Spain</t>
  </si>
  <si>
    <t>Calle de Sta Engracia, 100, 28003 Madrid, España</t>
  </si>
  <si>
    <t>Calle de Valencia, 18, 28012 Madrid, España</t>
  </si>
  <si>
    <t>Calle Edgar Neville, 2, 28223 Pozuelo de Alarcón, Madrid, España</t>
  </si>
  <si>
    <t>Calle Gran Vía, 200, Madrid, Spain</t>
  </si>
  <si>
    <t>Calle Salvador de Madariaga, San Sebastián de los Reyes, Spain</t>
  </si>
  <si>
    <t>Calle Serrano Jover, 5, 28015 Madrid, España</t>
  </si>
  <si>
    <t>Parque Comercial Megapark Plaza Norte 2, Plaza del Comercio, San Sebastián de los Reyes, Madrid, Spain</t>
  </si>
  <si>
    <t>Paseo de la Castellana, 200, Madrid, Spain</t>
  </si>
  <si>
    <t>Calle de Alcantara, 14, Madrid, Spain</t>
  </si>
  <si>
    <t>Principe Pio Shopping Center, Paseo de la Florida, Madrid, Spain</t>
  </si>
  <si>
    <t>Calle Calderilla, Madrid,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</si>
</sst>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&quot;€&quot;#,##0.00"/>
  </numFmts>
  <fonts count="4">
    <font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abSelected="1" workbookViewId="0">
      <selection activeCell="B12" sqref="B11:B12"/>
    </sheetView>
  </sheetViews>
  <sheetFormatPr defaultColWidth="12.625" defaultRowHeight="15" customHeight="1"/>
  <cols>
    <col min="1" max="1" width="14.375" customWidth="1"/>
    <col min="2" max="2" width="73" customWidth="1"/>
    <col min="3" max="11" width="14.375" customWidth="1"/>
    <col min="12" max="12" width="27.125" customWidth="1"/>
    <col min="13" max="26" width="14.375" customWidth="1"/>
  </cols>
  <sheetData>
    <row r="1" spans="1:14" ht="4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45661</v>
      </c>
      <c r="B2" s="3" t="s">
        <v>14</v>
      </c>
      <c r="C2" s="4">
        <v>104</v>
      </c>
      <c r="D2" s="5">
        <v>21.65</v>
      </c>
      <c r="E2" s="4">
        <v>1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6">
        <f t="shared" ref="N2:N3" si="0">(E2*D2)*15%</f>
        <v>3.2474999999999996</v>
      </c>
    </row>
    <row r="3" spans="1:14">
      <c r="A3" s="2">
        <v>45689</v>
      </c>
      <c r="B3" s="3" t="s">
        <v>14</v>
      </c>
      <c r="C3" s="4">
        <v>124</v>
      </c>
      <c r="D3" s="5">
        <v>20.95</v>
      </c>
      <c r="E3" s="4">
        <v>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6">
        <f t="shared" si="0"/>
        <v>3.1424999999999996</v>
      </c>
    </row>
    <row r="4" spans="1:14">
      <c r="A4" s="2">
        <v>45696</v>
      </c>
      <c r="B4" s="3" t="s">
        <v>14</v>
      </c>
      <c r="C4" s="4">
        <v>71</v>
      </c>
      <c r="D4" s="5">
        <v>22.94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6">
        <f>(E4*D4)*50%</f>
        <v>11.47</v>
      </c>
    </row>
    <row r="5" spans="1:14">
      <c r="A5" s="2">
        <v>45703</v>
      </c>
      <c r="B5" s="3" t="s">
        <v>14</v>
      </c>
      <c r="C5" s="4">
        <v>76</v>
      </c>
      <c r="D5" s="5">
        <v>21.11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6">
        <f>(E5*D5)*15%</f>
        <v>3.1664999999999996</v>
      </c>
    </row>
    <row r="6" spans="1:14">
      <c r="A6" s="2">
        <v>45724</v>
      </c>
      <c r="B6" s="3" t="s">
        <v>14</v>
      </c>
      <c r="C6" s="4">
        <v>87</v>
      </c>
      <c r="D6" s="5">
        <v>22.43</v>
      </c>
      <c r="E6" s="4">
        <v>1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6">
        <f>(E6*D6)*30%</f>
        <v>6.7290000000000001</v>
      </c>
    </row>
    <row r="7" spans="1:14">
      <c r="A7" s="2">
        <v>45752</v>
      </c>
      <c r="B7" s="3" t="s">
        <v>14</v>
      </c>
      <c r="C7" s="4">
        <v>90</v>
      </c>
      <c r="D7" s="5">
        <v>23.42</v>
      </c>
      <c r="E7" s="4">
        <v>1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6">
        <f>(E7*D7)*15%</f>
        <v>3.5130000000000003</v>
      </c>
    </row>
    <row r="8" spans="1:14">
      <c r="A8" s="2">
        <v>45773</v>
      </c>
      <c r="B8" s="3" t="s">
        <v>14</v>
      </c>
      <c r="C8" s="4">
        <v>97</v>
      </c>
      <c r="D8" s="5">
        <v>24.75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6">
        <f t="shared" ref="N8:N9" si="1">(E8*D8)*50%</f>
        <v>12.375</v>
      </c>
    </row>
    <row r="9" spans="1:14">
      <c r="A9" s="2">
        <v>45794</v>
      </c>
      <c r="B9" s="3" t="s">
        <v>14</v>
      </c>
      <c r="C9" s="4">
        <v>109</v>
      </c>
      <c r="D9" s="5">
        <v>20.81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6">
        <f t="shared" si="1"/>
        <v>10.404999999999999</v>
      </c>
    </row>
    <row r="10" spans="1:14">
      <c r="A10" s="2">
        <v>45801</v>
      </c>
      <c r="B10" s="3" t="s">
        <v>14</v>
      </c>
      <c r="C10" s="4">
        <v>86</v>
      </c>
      <c r="D10" s="5">
        <v>22.18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6">
        <f>(E10*D10)*15%</f>
        <v>3.327</v>
      </c>
    </row>
    <row r="11" spans="1:14">
      <c r="A11" s="2">
        <v>44193</v>
      </c>
      <c r="B11" s="3" t="s">
        <v>14</v>
      </c>
      <c r="C11" s="4">
        <v>84</v>
      </c>
      <c r="D11" s="5">
        <v>23.32</v>
      </c>
      <c r="E11" s="4">
        <v>2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6">
        <f>(E11*D11)*50%</f>
        <v>23.32</v>
      </c>
    </row>
    <row r="12" spans="1:14">
      <c r="A12" s="2">
        <v>45668</v>
      </c>
      <c r="B12" s="3" t="s">
        <v>14</v>
      </c>
      <c r="C12" s="4">
        <v>41</v>
      </c>
      <c r="D12" s="5">
        <v>23.95</v>
      </c>
      <c r="E12" s="4">
        <v>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6">
        <f>(E12*D12)*30%</f>
        <v>14.37</v>
      </c>
    </row>
    <row r="13" spans="1:14">
      <c r="A13" s="2">
        <v>45675</v>
      </c>
      <c r="B13" s="3" t="s">
        <v>14</v>
      </c>
      <c r="C13" s="4">
        <v>121</v>
      </c>
      <c r="D13" s="5">
        <v>20.3</v>
      </c>
      <c r="E13" s="4">
        <v>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6">
        <f>(E13*D13)*50%</f>
        <v>20.3</v>
      </c>
    </row>
    <row r="14" spans="1:14">
      <c r="A14" s="2">
        <v>45731</v>
      </c>
      <c r="B14" s="3" t="s">
        <v>14</v>
      </c>
      <c r="C14" s="4">
        <v>99</v>
      </c>
      <c r="D14" s="5">
        <v>21.94</v>
      </c>
      <c r="E14" s="4">
        <v>2</v>
      </c>
      <c r="F14" s="4">
        <v>0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6">
        <f>(E14*D14)*15%</f>
        <v>6.5819999999999999</v>
      </c>
    </row>
    <row r="15" spans="1:14">
      <c r="A15" s="2">
        <v>45738</v>
      </c>
      <c r="B15" s="3" t="s">
        <v>14</v>
      </c>
      <c r="C15" s="4">
        <v>90</v>
      </c>
      <c r="D15" s="5">
        <v>24.09</v>
      </c>
      <c r="E15" s="4">
        <v>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6">
        <f>(E15*D15)*50%</f>
        <v>24.09</v>
      </c>
    </row>
    <row r="16" spans="1:14">
      <c r="A16" s="2">
        <v>45745</v>
      </c>
      <c r="B16" s="3" t="s">
        <v>14</v>
      </c>
      <c r="C16" s="4">
        <v>86</v>
      </c>
      <c r="D16" s="5">
        <v>23.66</v>
      </c>
      <c r="E16" s="4">
        <v>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6">
        <f>(E16*D16)*30%</f>
        <v>14.196</v>
      </c>
    </row>
    <row r="17" spans="1:14">
      <c r="A17" s="2">
        <v>45710</v>
      </c>
      <c r="B17" s="3" t="s">
        <v>14</v>
      </c>
      <c r="C17" s="4">
        <v>69</v>
      </c>
      <c r="D17" s="5">
        <v>21.23</v>
      </c>
      <c r="E17" s="4">
        <v>0</v>
      </c>
      <c r="F17" s="4">
        <v>0</v>
      </c>
      <c r="G17" s="4">
        <v>0</v>
      </c>
      <c r="H17" s="4">
        <v>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4">
      <c r="A18" s="2">
        <v>45759</v>
      </c>
      <c r="B18" s="3" t="s">
        <v>14</v>
      </c>
      <c r="C18" s="4">
        <v>68</v>
      </c>
      <c r="D18" s="5">
        <v>20.309999999999999</v>
      </c>
      <c r="E18" s="4">
        <v>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6">
        <f>(E18*D18)*30%</f>
        <v>12.185999999999998</v>
      </c>
    </row>
    <row r="19" spans="1:14">
      <c r="A19" s="2">
        <v>45717</v>
      </c>
      <c r="B19" s="3" t="s">
        <v>14</v>
      </c>
      <c r="C19" s="4">
        <v>96</v>
      </c>
      <c r="D19" s="5">
        <v>22.03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4" ht="15.75" customHeight="1">
      <c r="A20" s="2">
        <v>45766</v>
      </c>
      <c r="B20" s="3" t="s">
        <v>14</v>
      </c>
      <c r="C20" s="4">
        <v>76</v>
      </c>
      <c r="D20" s="5">
        <v>20.65</v>
      </c>
      <c r="E20" s="4">
        <v>2</v>
      </c>
      <c r="F20" s="4">
        <v>0</v>
      </c>
      <c r="G20" s="4">
        <v>0</v>
      </c>
      <c r="H20" s="4">
        <v>0</v>
      </c>
      <c r="I20" s="4">
        <v>0</v>
      </c>
      <c r="J20" s="4">
        <v>2</v>
      </c>
      <c r="K20" s="4">
        <v>0</v>
      </c>
      <c r="L20" s="4">
        <v>0</v>
      </c>
      <c r="M20" s="4">
        <v>1</v>
      </c>
      <c r="N20" s="6">
        <f>(E20*D20)*15%</f>
        <v>6.1949999999999994</v>
      </c>
    </row>
    <row r="21" spans="1:14" ht="15.75" customHeight="1">
      <c r="A21" s="2">
        <v>45682</v>
      </c>
      <c r="B21" s="3" t="s">
        <v>14</v>
      </c>
      <c r="C21" s="4">
        <v>122</v>
      </c>
      <c r="D21" s="5">
        <v>20.2</v>
      </c>
      <c r="E21" s="4">
        <v>3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6">
        <f>(E21*D21)*30%</f>
        <v>18.179999999999996</v>
      </c>
    </row>
    <row r="22" spans="1:14" ht="15.75" customHeight="1">
      <c r="A22" s="2">
        <v>45780</v>
      </c>
      <c r="B22" s="3" t="s">
        <v>14</v>
      </c>
      <c r="C22" s="4">
        <v>117</v>
      </c>
      <c r="D22" s="5">
        <v>22.17</v>
      </c>
      <c r="E22" s="4">
        <v>3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6">
        <f>(E22*D22)*15%</f>
        <v>9.9764999999999997</v>
      </c>
    </row>
    <row r="23" spans="1:14" ht="15.75" customHeight="1">
      <c r="A23" s="2">
        <v>45787</v>
      </c>
      <c r="B23" s="3" t="s">
        <v>14</v>
      </c>
      <c r="C23" s="4">
        <v>112</v>
      </c>
      <c r="D23" s="5">
        <v>20.84</v>
      </c>
      <c r="E23" s="4">
        <v>3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6">
        <f>(E23*D23)*50%</f>
        <v>31.259999999999998</v>
      </c>
    </row>
    <row r="24" spans="1:14" ht="15.75" customHeight="1">
      <c r="A24" s="2">
        <v>45808</v>
      </c>
      <c r="B24" s="3" t="s">
        <v>14</v>
      </c>
      <c r="C24" s="4">
        <v>107</v>
      </c>
      <c r="D24" s="5">
        <v>19.8</v>
      </c>
      <c r="E24" s="4">
        <v>3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6">
        <f t="shared" ref="N24:N25" si="2">(E24*D24)*30%</f>
        <v>17.82</v>
      </c>
    </row>
    <row r="25" spans="1:14" ht="15.75" customHeight="1">
      <c r="A25" s="2">
        <v>45661</v>
      </c>
      <c r="B25" s="3" t="s">
        <v>15</v>
      </c>
      <c r="C25" s="4">
        <v>68</v>
      </c>
      <c r="D25" s="5">
        <v>27.16</v>
      </c>
      <c r="E25" s="4">
        <v>1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6">
        <f t="shared" si="2"/>
        <v>8.1479999999999997</v>
      </c>
    </row>
    <row r="26" spans="1:14" ht="15.75" customHeight="1">
      <c r="A26" s="2">
        <v>45668</v>
      </c>
      <c r="B26" s="3" t="s">
        <v>15</v>
      </c>
      <c r="C26" s="4">
        <v>25</v>
      </c>
      <c r="D26" s="5">
        <v>22.61</v>
      </c>
      <c r="E26" s="4">
        <v>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6">
        <f t="shared" ref="N26:N27" si="3">(E26*D26)*15%</f>
        <v>3.3914999999999997</v>
      </c>
    </row>
    <row r="27" spans="1:14" ht="15.75" customHeight="1">
      <c r="A27" s="2">
        <v>45675</v>
      </c>
      <c r="B27" s="3" t="s">
        <v>15</v>
      </c>
      <c r="C27" s="4">
        <v>125</v>
      </c>
      <c r="D27" s="5">
        <v>23.57</v>
      </c>
      <c r="E27" s="4">
        <v>1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6">
        <f t="shared" si="3"/>
        <v>3.5354999999999999</v>
      </c>
    </row>
    <row r="28" spans="1:14" ht="15.75" customHeight="1">
      <c r="A28" s="2">
        <v>45710</v>
      </c>
      <c r="B28" s="3" t="s">
        <v>15</v>
      </c>
      <c r="C28" s="4">
        <v>75</v>
      </c>
      <c r="D28" s="5">
        <v>23.96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6">
        <f>(E28*D28)*30%</f>
        <v>7.1879999999999997</v>
      </c>
    </row>
    <row r="29" spans="1:14" ht="15.75" customHeight="1">
      <c r="A29" s="2">
        <v>45724</v>
      </c>
      <c r="B29" s="3" t="s">
        <v>15</v>
      </c>
      <c r="C29" s="4">
        <v>52</v>
      </c>
      <c r="D29" s="5">
        <v>26.45</v>
      </c>
      <c r="E29" s="4">
        <v>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6">
        <f>(E29*D29)*50%</f>
        <v>13.225</v>
      </c>
    </row>
    <row r="30" spans="1:14" ht="15.75" customHeight="1">
      <c r="A30" s="2">
        <v>45752</v>
      </c>
      <c r="B30" s="3" t="s">
        <v>15</v>
      </c>
      <c r="C30" s="4">
        <v>56</v>
      </c>
      <c r="D30" s="5">
        <v>26.47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6">
        <f t="shared" ref="N30:N32" si="4">(E30*D30)*30%</f>
        <v>7.9409999999999989</v>
      </c>
    </row>
    <row r="31" spans="1:14" ht="15.75" customHeight="1">
      <c r="A31" s="2">
        <v>45773</v>
      </c>
      <c r="B31" s="3" t="s">
        <v>15</v>
      </c>
      <c r="C31" s="4">
        <v>82</v>
      </c>
      <c r="D31" s="5">
        <v>23.43</v>
      </c>
      <c r="E31" s="4">
        <v>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6">
        <f t="shared" si="4"/>
        <v>7.0289999999999999</v>
      </c>
    </row>
    <row r="32" spans="1:14" ht="15.75" customHeight="1">
      <c r="A32" s="2">
        <v>45780</v>
      </c>
      <c r="B32" s="3" t="s">
        <v>15</v>
      </c>
      <c r="C32" s="4">
        <v>65</v>
      </c>
      <c r="D32" s="5">
        <v>23.4</v>
      </c>
      <c r="E32" s="4">
        <v>1</v>
      </c>
      <c r="F32" s="4">
        <v>0</v>
      </c>
      <c r="G32" s="4">
        <v>0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6">
        <f t="shared" si="4"/>
        <v>7.02</v>
      </c>
    </row>
    <row r="33" spans="1:14" ht="15.75" customHeight="1">
      <c r="A33" s="2">
        <v>45696</v>
      </c>
      <c r="B33" s="3" t="s">
        <v>15</v>
      </c>
      <c r="C33" s="4">
        <v>71</v>
      </c>
      <c r="D33" s="5">
        <v>23.56</v>
      </c>
      <c r="E33" s="4">
        <v>2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6">
        <f t="shared" ref="N33:N34" si="5">(E33*D33)*15%</f>
        <v>7.0679999999999996</v>
      </c>
    </row>
    <row r="34" spans="1:14" ht="15.75" customHeight="1">
      <c r="A34" s="2">
        <v>45731</v>
      </c>
      <c r="B34" s="3" t="s">
        <v>15</v>
      </c>
      <c r="C34" s="4">
        <v>60</v>
      </c>
      <c r="D34" s="5">
        <v>23.15</v>
      </c>
      <c r="E34" s="4">
        <v>2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6">
        <f t="shared" si="5"/>
        <v>6.9449999999999994</v>
      </c>
    </row>
    <row r="35" spans="1:14" ht="15.75" customHeight="1">
      <c r="A35" s="2">
        <v>44193</v>
      </c>
      <c r="B35" s="3" t="s">
        <v>15</v>
      </c>
      <c r="C35" s="4">
        <v>108</v>
      </c>
      <c r="D35" s="5">
        <v>24.86</v>
      </c>
      <c r="E35" s="4">
        <v>3</v>
      </c>
      <c r="F35" s="4">
        <v>0</v>
      </c>
      <c r="G35" s="4">
        <v>0</v>
      </c>
      <c r="H35" s="4">
        <v>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6">
        <f>(E35*D35)*30%</f>
        <v>22.373999999999999</v>
      </c>
    </row>
    <row r="36" spans="1:14" ht="15.75" customHeight="1">
      <c r="A36" s="2">
        <v>45703</v>
      </c>
      <c r="B36" s="3" t="s">
        <v>15</v>
      </c>
      <c r="C36" s="4">
        <v>79</v>
      </c>
      <c r="D36" s="5">
        <v>22.4</v>
      </c>
      <c r="E36" s="4">
        <v>3</v>
      </c>
      <c r="F36" s="4">
        <v>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6">
        <f t="shared" ref="N36:N37" si="6">(E36*D36)*50%</f>
        <v>33.599999999999994</v>
      </c>
    </row>
    <row r="37" spans="1:14" ht="15.75" customHeight="1">
      <c r="A37" s="2">
        <v>45717</v>
      </c>
      <c r="B37" s="3" t="s">
        <v>15</v>
      </c>
      <c r="C37" s="4">
        <v>75</v>
      </c>
      <c r="D37" s="5">
        <v>21.04</v>
      </c>
      <c r="E37" s="4">
        <v>3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6">
        <f t="shared" si="6"/>
        <v>31.56</v>
      </c>
    </row>
    <row r="38" spans="1:14" ht="15.75" customHeight="1">
      <c r="A38" s="2">
        <v>45745</v>
      </c>
      <c r="B38" s="3" t="s">
        <v>15</v>
      </c>
      <c r="C38" s="4">
        <v>67</v>
      </c>
      <c r="D38" s="5">
        <v>24.18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</row>
    <row r="39" spans="1:14" ht="15.75" customHeight="1">
      <c r="A39" s="2">
        <v>45738</v>
      </c>
      <c r="B39" s="3" t="s">
        <v>15</v>
      </c>
      <c r="C39" s="4">
        <v>62</v>
      </c>
      <c r="D39" s="5">
        <v>23.12</v>
      </c>
      <c r="E39" s="4">
        <v>3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6">
        <f t="shared" ref="N39:N40" si="7">(E39*D39)*30%</f>
        <v>20.808</v>
      </c>
    </row>
    <row r="40" spans="1:14" ht="15.75" customHeight="1">
      <c r="A40" s="2">
        <v>45759</v>
      </c>
      <c r="B40" s="3" t="s">
        <v>15</v>
      </c>
      <c r="C40" s="4">
        <v>55</v>
      </c>
      <c r="D40" s="5">
        <v>24.66</v>
      </c>
      <c r="E40" s="4">
        <v>3</v>
      </c>
      <c r="F40" s="4">
        <v>0</v>
      </c>
      <c r="G40" s="4">
        <v>0</v>
      </c>
      <c r="H40" s="4">
        <v>1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6">
        <f t="shared" si="7"/>
        <v>22.193999999999999</v>
      </c>
    </row>
    <row r="41" spans="1:14" ht="15.75" customHeight="1">
      <c r="A41" s="2">
        <v>45682</v>
      </c>
      <c r="B41" s="3" t="s">
        <v>15</v>
      </c>
      <c r="C41" s="4">
        <v>121</v>
      </c>
      <c r="D41" s="5">
        <v>20.29</v>
      </c>
      <c r="E41" s="4">
        <v>4</v>
      </c>
      <c r="F41" s="4">
        <v>0</v>
      </c>
      <c r="G41" s="4">
        <v>1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6">
        <f t="shared" ref="N41:N42" si="8">(E41*D41)*50%</f>
        <v>40.58</v>
      </c>
    </row>
    <row r="42" spans="1:14" ht="15.75" customHeight="1">
      <c r="A42" s="2">
        <v>45689</v>
      </c>
      <c r="B42" s="3" t="s">
        <v>15</v>
      </c>
      <c r="C42" s="4">
        <v>136</v>
      </c>
      <c r="D42" s="5">
        <v>22.05</v>
      </c>
      <c r="E42" s="4">
        <v>4</v>
      </c>
      <c r="F42" s="4">
        <v>0</v>
      </c>
      <c r="G42" s="4">
        <v>0</v>
      </c>
      <c r="H42" s="4">
        <v>1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6">
        <f t="shared" si="8"/>
        <v>44.1</v>
      </c>
    </row>
    <row r="43" spans="1:14" ht="15.75" customHeight="1">
      <c r="A43" s="2">
        <v>45766</v>
      </c>
      <c r="B43" s="3" t="s">
        <v>15</v>
      </c>
      <c r="C43" s="4">
        <v>51</v>
      </c>
      <c r="D43" s="5">
        <v>23.65</v>
      </c>
      <c r="E43" s="4">
        <v>4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6">
        <f t="shared" ref="N43:N44" si="9">(E43*D43)*30%</f>
        <v>28.38</v>
      </c>
    </row>
    <row r="44" spans="1:14" ht="15.75" customHeight="1">
      <c r="A44" s="2">
        <v>45787</v>
      </c>
      <c r="B44" s="3" t="s">
        <v>15</v>
      </c>
      <c r="C44" s="4">
        <v>72</v>
      </c>
      <c r="D44" s="5">
        <v>22.4</v>
      </c>
      <c r="E44" s="4">
        <v>4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6">
        <f t="shared" si="9"/>
        <v>26.88</v>
      </c>
    </row>
    <row r="45" spans="1:14" ht="15.75" customHeight="1">
      <c r="A45" s="2">
        <v>45794</v>
      </c>
      <c r="B45" s="3" t="s">
        <v>15</v>
      </c>
      <c r="C45" s="4">
        <v>60</v>
      </c>
      <c r="D45" s="5">
        <v>22.29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4" ht="15.75" customHeight="1">
      <c r="A46" s="2">
        <v>45801</v>
      </c>
      <c r="B46" s="3" t="s">
        <v>15</v>
      </c>
      <c r="C46" s="4">
        <v>58</v>
      </c>
      <c r="D46" s="5">
        <v>23.22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</row>
    <row r="47" spans="1:14" ht="15.75" customHeight="1">
      <c r="A47" s="2">
        <v>45808</v>
      </c>
      <c r="B47" s="3" t="s">
        <v>15</v>
      </c>
      <c r="C47" s="4">
        <v>71</v>
      </c>
      <c r="D47" s="5">
        <v>21.77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4" ht="15.75" customHeight="1">
      <c r="A48" s="2">
        <v>45668</v>
      </c>
      <c r="B48" s="3" t="s">
        <v>16</v>
      </c>
      <c r="C48" s="4">
        <v>56</v>
      </c>
      <c r="D48" s="5">
        <v>20.51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6">
        <f t="shared" ref="N48:N49" si="10">(E48*D48)*50%</f>
        <v>10.255000000000001</v>
      </c>
    </row>
    <row r="49" spans="1:14" ht="15.75" customHeight="1">
      <c r="A49" s="2">
        <v>45808</v>
      </c>
      <c r="B49" s="3" t="s">
        <v>16</v>
      </c>
      <c r="C49" s="4">
        <v>80</v>
      </c>
      <c r="D49" s="5">
        <v>18.440000000000001</v>
      </c>
      <c r="E49" s="4">
        <v>1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6">
        <f t="shared" si="10"/>
        <v>9.2200000000000006</v>
      </c>
    </row>
    <row r="50" spans="1:14" ht="15.75" customHeight="1">
      <c r="A50" s="2">
        <v>45675</v>
      </c>
      <c r="B50" s="3" t="s">
        <v>16</v>
      </c>
      <c r="C50" s="4">
        <v>133</v>
      </c>
      <c r="D50" s="5">
        <v>18.559999999999999</v>
      </c>
      <c r="E50" s="4">
        <v>2</v>
      </c>
      <c r="F50" s="4">
        <v>0</v>
      </c>
      <c r="G50" s="4">
        <v>0</v>
      </c>
      <c r="H50" s="4">
        <v>0</v>
      </c>
      <c r="I50" s="4">
        <v>1</v>
      </c>
      <c r="J50" s="4">
        <v>0</v>
      </c>
      <c r="K50" s="4">
        <v>0</v>
      </c>
      <c r="L50" s="4">
        <v>0</v>
      </c>
      <c r="M50" s="4">
        <v>0</v>
      </c>
      <c r="N50" s="6">
        <f>(E50*D50)*15%</f>
        <v>5.5679999999999996</v>
      </c>
    </row>
    <row r="51" spans="1:14" ht="15.75" customHeight="1">
      <c r="A51" s="2">
        <v>45696</v>
      </c>
      <c r="B51" s="3" t="s">
        <v>16</v>
      </c>
      <c r="C51" s="4">
        <v>125</v>
      </c>
      <c r="D51" s="5">
        <v>20.45</v>
      </c>
      <c r="E51" s="4">
        <v>2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6">
        <f>(E51*D51)*50%</f>
        <v>20.45</v>
      </c>
    </row>
    <row r="52" spans="1:14" ht="15.75" customHeight="1">
      <c r="A52" s="2">
        <v>45703</v>
      </c>
      <c r="B52" s="3" t="s">
        <v>16</v>
      </c>
      <c r="C52" s="4">
        <v>100</v>
      </c>
      <c r="D52" s="5">
        <v>19.29</v>
      </c>
      <c r="E52" s="4">
        <v>2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6">
        <f>(E52*D52)*30%</f>
        <v>11.574</v>
      </c>
    </row>
    <row r="53" spans="1:14" ht="15.75" customHeight="1">
      <c r="A53" s="2">
        <v>44193</v>
      </c>
      <c r="B53" s="3" t="s">
        <v>16</v>
      </c>
      <c r="C53" s="4">
        <v>51</v>
      </c>
      <c r="D53" s="5">
        <v>20.2</v>
      </c>
      <c r="E53" s="4">
        <v>3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6">
        <f>(E53*D53)*15%</f>
        <v>9.0899999999999981</v>
      </c>
    </row>
    <row r="54" spans="1:14" ht="15.75" customHeight="1">
      <c r="A54" s="2">
        <v>45731</v>
      </c>
      <c r="B54" s="3" t="s">
        <v>16</v>
      </c>
      <c r="C54" s="4">
        <v>87</v>
      </c>
      <c r="D54" s="5">
        <v>17.57</v>
      </c>
      <c r="E54" s="4">
        <v>0</v>
      </c>
      <c r="F54" s="4">
        <v>0</v>
      </c>
      <c r="G54" s="4">
        <v>2</v>
      </c>
      <c r="H54" s="4">
        <v>0</v>
      </c>
      <c r="I54" s="4">
        <v>1</v>
      </c>
      <c r="J54" s="4">
        <v>0</v>
      </c>
      <c r="K54" s="4">
        <v>0</v>
      </c>
      <c r="L54" s="4">
        <v>0</v>
      </c>
      <c r="M54" s="4">
        <v>0</v>
      </c>
    </row>
    <row r="55" spans="1:14" ht="15.75" customHeight="1">
      <c r="A55" s="2">
        <v>45717</v>
      </c>
      <c r="B55" s="3" t="s">
        <v>16</v>
      </c>
      <c r="C55" s="4">
        <v>105</v>
      </c>
      <c r="D55" s="5">
        <v>20.68</v>
      </c>
      <c r="E55" s="4">
        <v>3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6">
        <f>(E55*D55)*30%</f>
        <v>18.611999999999998</v>
      </c>
    </row>
    <row r="56" spans="1:14" ht="15.75" customHeight="1">
      <c r="A56" s="2">
        <v>45724</v>
      </c>
      <c r="B56" s="3" t="s">
        <v>16</v>
      </c>
      <c r="C56" s="4">
        <v>87</v>
      </c>
      <c r="D56" s="5">
        <v>18.190000000000001</v>
      </c>
      <c r="E56" s="4">
        <v>3</v>
      </c>
      <c r="F56" s="4">
        <v>0</v>
      </c>
      <c r="G56" s="4">
        <v>0</v>
      </c>
      <c r="H56" s="4">
        <v>1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6">
        <f>(E56*D56)*15%</f>
        <v>8.1855000000000011</v>
      </c>
    </row>
    <row r="57" spans="1:14" ht="15.75" customHeight="1">
      <c r="A57" s="2">
        <v>45738</v>
      </c>
      <c r="B57" s="3" t="s">
        <v>16</v>
      </c>
      <c r="C57" s="4">
        <v>71</v>
      </c>
      <c r="D57" s="5">
        <v>19.53</v>
      </c>
      <c r="E57" s="4">
        <v>3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6">
        <f>(E57*D57)*50%</f>
        <v>29.295000000000002</v>
      </c>
    </row>
    <row r="58" spans="1:14" ht="15.75" customHeight="1">
      <c r="A58" s="2">
        <v>45759</v>
      </c>
      <c r="B58" s="3" t="s">
        <v>16</v>
      </c>
      <c r="C58" s="4">
        <v>85</v>
      </c>
      <c r="D58" s="5">
        <v>19.77</v>
      </c>
      <c r="E58" s="4">
        <v>3</v>
      </c>
      <c r="F58" s="4">
        <v>0</v>
      </c>
      <c r="G58" s="4">
        <v>1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6">
        <f>(E58*D58)*15%</f>
        <v>8.8964999999999996</v>
      </c>
    </row>
    <row r="59" spans="1:14" ht="15.75" customHeight="1">
      <c r="A59" s="2">
        <v>45766</v>
      </c>
      <c r="B59" s="3" t="s">
        <v>16</v>
      </c>
      <c r="C59" s="4">
        <v>85</v>
      </c>
      <c r="D59" s="5">
        <v>18.8</v>
      </c>
      <c r="E59" s="4">
        <v>3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6">
        <f>(E59*D59)*30%</f>
        <v>16.920000000000002</v>
      </c>
    </row>
    <row r="60" spans="1:14" ht="15.75" customHeight="1">
      <c r="A60" s="2">
        <v>45682</v>
      </c>
      <c r="B60" s="3" t="s">
        <v>16</v>
      </c>
      <c r="C60" s="4">
        <v>129</v>
      </c>
      <c r="D60" s="5">
        <v>19.2</v>
      </c>
      <c r="E60" s="4">
        <v>4</v>
      </c>
      <c r="F60" s="4">
        <v>0</v>
      </c>
      <c r="G60" s="4">
        <v>0</v>
      </c>
      <c r="H60" s="4">
        <v>2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6">
        <f>(E60*D60)*15%</f>
        <v>11.52</v>
      </c>
    </row>
    <row r="61" spans="1:14" ht="15.75" customHeight="1">
      <c r="A61" s="2">
        <v>45710</v>
      </c>
      <c r="B61" s="3" t="s">
        <v>16</v>
      </c>
      <c r="C61" s="4">
        <v>81</v>
      </c>
      <c r="D61" s="5">
        <v>20.09</v>
      </c>
      <c r="E61" s="4">
        <v>4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6">
        <f t="shared" ref="N61:N63" si="11">(E61*D61)*30%</f>
        <v>24.108000000000001</v>
      </c>
    </row>
    <row r="62" spans="1:14" ht="15.75" customHeight="1">
      <c r="A62" s="2">
        <v>45752</v>
      </c>
      <c r="B62" s="3" t="s">
        <v>16</v>
      </c>
      <c r="C62" s="4">
        <v>78</v>
      </c>
      <c r="D62" s="5">
        <v>19.41</v>
      </c>
      <c r="E62" s="4">
        <v>4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6">
        <f t="shared" si="11"/>
        <v>23.291999999999998</v>
      </c>
    </row>
    <row r="63" spans="1:14" ht="15.75" customHeight="1">
      <c r="A63" s="2">
        <v>45794</v>
      </c>
      <c r="B63" s="3" t="s">
        <v>16</v>
      </c>
      <c r="C63" s="4">
        <v>89</v>
      </c>
      <c r="D63" s="5">
        <v>18.09</v>
      </c>
      <c r="E63" s="4">
        <v>4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6">
        <f t="shared" si="11"/>
        <v>21.707999999999998</v>
      </c>
    </row>
    <row r="64" spans="1:14" ht="15.75" customHeight="1">
      <c r="A64" s="2">
        <v>45661</v>
      </c>
      <c r="B64" s="3" t="s">
        <v>16</v>
      </c>
      <c r="C64" s="4">
        <v>88</v>
      </c>
      <c r="D64" s="5">
        <v>19.3</v>
      </c>
      <c r="E64" s="4">
        <v>5</v>
      </c>
      <c r="F64" s="4">
        <v>0</v>
      </c>
      <c r="G64" s="4">
        <v>0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6">
        <f t="shared" ref="N64:N65" si="12">(E64*D64)*50%</f>
        <v>48.25</v>
      </c>
    </row>
    <row r="65" spans="1:14" ht="15.75" customHeight="1">
      <c r="A65" s="2">
        <v>45689</v>
      </c>
      <c r="B65" s="3" t="s">
        <v>16</v>
      </c>
      <c r="C65" s="4">
        <v>132</v>
      </c>
      <c r="D65" s="5">
        <v>19.5</v>
      </c>
      <c r="E65" s="4">
        <v>5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6">
        <f t="shared" si="12"/>
        <v>48.75</v>
      </c>
    </row>
    <row r="66" spans="1:14" ht="15.75" customHeight="1">
      <c r="A66" s="2">
        <v>45745</v>
      </c>
      <c r="B66" s="3" t="s">
        <v>16</v>
      </c>
      <c r="C66" s="4">
        <v>70</v>
      </c>
      <c r="D66" s="5">
        <v>18.18</v>
      </c>
      <c r="E66" s="4">
        <v>5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6">
        <f>(E66*D66)*15%</f>
        <v>13.635</v>
      </c>
    </row>
    <row r="67" spans="1:14" ht="15.75" customHeight="1">
      <c r="A67" s="2">
        <v>45780</v>
      </c>
      <c r="B67" s="3" t="s">
        <v>16</v>
      </c>
      <c r="C67" s="4">
        <v>112</v>
      </c>
      <c r="D67" s="5">
        <v>19.23</v>
      </c>
      <c r="E67" s="4">
        <v>5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6">
        <f>(E67*D67)*50%</f>
        <v>48.075000000000003</v>
      </c>
    </row>
    <row r="68" spans="1:14" ht="15.75" customHeight="1">
      <c r="A68" s="2">
        <v>45787</v>
      </c>
      <c r="B68" s="3" t="s">
        <v>16</v>
      </c>
      <c r="C68" s="4">
        <v>93</v>
      </c>
      <c r="D68" s="5">
        <v>18.18</v>
      </c>
      <c r="E68" s="4">
        <v>5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6">
        <f>(E68*D68)*30%</f>
        <v>27.27</v>
      </c>
    </row>
    <row r="69" spans="1:14" ht="15.75" customHeight="1">
      <c r="A69" s="2">
        <v>45773</v>
      </c>
      <c r="B69" s="3" t="s">
        <v>16</v>
      </c>
      <c r="C69" s="4">
        <v>92</v>
      </c>
      <c r="D69" s="5">
        <v>18.579999999999998</v>
      </c>
      <c r="E69" s="4">
        <v>6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6">
        <f t="shared" ref="N69:N72" si="13">(E69*D69)*15%</f>
        <v>16.721999999999998</v>
      </c>
    </row>
    <row r="70" spans="1:14" ht="15.75" customHeight="1">
      <c r="A70" s="2">
        <v>45801</v>
      </c>
      <c r="B70" s="3" t="s">
        <v>16</v>
      </c>
      <c r="C70" s="4">
        <v>71</v>
      </c>
      <c r="D70" s="5">
        <v>20.92</v>
      </c>
      <c r="E70" s="4">
        <v>6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6">
        <f t="shared" si="13"/>
        <v>18.827999999999999</v>
      </c>
    </row>
    <row r="71" spans="1:14" ht="15.75" customHeight="1">
      <c r="A71" s="2">
        <v>45682</v>
      </c>
      <c r="B71" s="3" t="s">
        <v>17</v>
      </c>
      <c r="C71" s="4">
        <v>13</v>
      </c>
      <c r="D71" s="5">
        <v>20.58</v>
      </c>
      <c r="E71" s="4">
        <v>1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2</v>
      </c>
      <c r="M71" s="4">
        <v>0</v>
      </c>
      <c r="N71" s="6">
        <f t="shared" si="13"/>
        <v>3.0869999999999997</v>
      </c>
    </row>
    <row r="72" spans="1:14" ht="15.75" customHeight="1">
      <c r="A72" s="2">
        <v>45696</v>
      </c>
      <c r="B72" s="3" t="s">
        <v>17</v>
      </c>
      <c r="C72" s="4">
        <v>8</v>
      </c>
      <c r="D72" s="5">
        <v>24.9</v>
      </c>
      <c r="E72" s="4">
        <v>1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6">
        <f t="shared" si="13"/>
        <v>3.7349999999999994</v>
      </c>
    </row>
    <row r="73" spans="1:14" ht="15.75" customHeight="1">
      <c r="A73" s="2">
        <v>45717</v>
      </c>
      <c r="B73" s="3" t="s">
        <v>17</v>
      </c>
      <c r="C73" s="4">
        <v>2</v>
      </c>
      <c r="D73" s="5">
        <v>29.13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6">
        <f>(E73*D73)*30%</f>
        <v>8.738999999999999</v>
      </c>
    </row>
    <row r="74" spans="1:14" ht="15.75" customHeight="1">
      <c r="A74" s="2">
        <v>45689</v>
      </c>
      <c r="B74" s="3" t="s">
        <v>17</v>
      </c>
      <c r="C74" s="4">
        <v>12</v>
      </c>
      <c r="D74" s="5">
        <v>18.510000000000002</v>
      </c>
      <c r="E74" s="4">
        <v>2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1</v>
      </c>
      <c r="M74" s="4">
        <v>0</v>
      </c>
      <c r="N74" s="6">
        <f>(E74*D74)*15%</f>
        <v>5.5529999999999999</v>
      </c>
    </row>
    <row r="75" spans="1:14" ht="15.75" customHeight="1">
      <c r="A75" s="2">
        <v>45703</v>
      </c>
      <c r="B75" s="3" t="s">
        <v>17</v>
      </c>
      <c r="C75" s="4">
        <v>6</v>
      </c>
      <c r="D75" s="5">
        <v>29.27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4" ht="15.75" customHeight="1">
      <c r="A76" s="2">
        <v>45710</v>
      </c>
      <c r="B76" s="3" t="s">
        <v>17</v>
      </c>
      <c r="C76" s="4">
        <v>1</v>
      </c>
      <c r="D76" s="5">
        <v>29.5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</row>
    <row r="77" spans="1:14" ht="15.75" customHeight="1">
      <c r="A77" s="2">
        <v>45773</v>
      </c>
      <c r="B77" s="3" t="s">
        <v>17</v>
      </c>
      <c r="C77" s="4">
        <v>3</v>
      </c>
      <c r="D77" s="5">
        <v>28.83</v>
      </c>
      <c r="E77" s="4">
        <v>2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6">
        <f>(E77*D77)*15%</f>
        <v>8.6489999999999991</v>
      </c>
    </row>
    <row r="78" spans="1:14" ht="15.75" customHeight="1">
      <c r="A78" s="2">
        <v>45724</v>
      </c>
      <c r="B78" s="3" t="s">
        <v>17</v>
      </c>
      <c r="C78" s="4">
        <v>3</v>
      </c>
      <c r="D78" s="5">
        <v>27.92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</row>
    <row r="79" spans="1:14" ht="15.75" customHeight="1">
      <c r="A79" s="2">
        <v>45731</v>
      </c>
      <c r="B79" s="3" t="s">
        <v>17</v>
      </c>
      <c r="C79" s="4">
        <v>5</v>
      </c>
      <c r="D79" s="5">
        <v>13.27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4" ht="15.75" customHeight="1">
      <c r="A80" s="2">
        <v>45738</v>
      </c>
      <c r="B80" s="3" t="s">
        <v>17</v>
      </c>
      <c r="C80" s="4">
        <v>3</v>
      </c>
      <c r="D80" s="5">
        <v>26.78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</row>
    <row r="81" spans="1:14" ht="15.75" customHeight="1">
      <c r="A81" s="2">
        <v>45745</v>
      </c>
      <c r="B81" s="3" t="s">
        <v>17</v>
      </c>
      <c r="C81" s="4">
        <v>4</v>
      </c>
      <c r="D81" s="5">
        <v>28.25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4" ht="15.75" customHeight="1">
      <c r="A82" s="2">
        <v>45752</v>
      </c>
      <c r="B82" s="3" t="s">
        <v>17</v>
      </c>
      <c r="C82" s="4">
        <v>4</v>
      </c>
      <c r="D82" s="5">
        <v>19.940000000000001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</row>
    <row r="83" spans="1:14" ht="15.75" customHeight="1">
      <c r="A83" s="2">
        <v>44193</v>
      </c>
      <c r="B83" s="3" t="s">
        <v>17</v>
      </c>
      <c r="C83" s="4">
        <v>9</v>
      </c>
      <c r="D83" s="5">
        <v>24.93</v>
      </c>
      <c r="E83" s="4">
        <v>4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1</v>
      </c>
      <c r="M83" s="4">
        <v>0</v>
      </c>
      <c r="N83" s="6">
        <f t="shared" ref="N83:N84" si="14">(E83*D83)*50%</f>
        <v>49.86</v>
      </c>
    </row>
    <row r="84" spans="1:14" ht="15.75" customHeight="1">
      <c r="A84" s="2">
        <v>45661</v>
      </c>
      <c r="B84" s="3" t="s">
        <v>17</v>
      </c>
      <c r="C84" s="4">
        <v>25</v>
      </c>
      <c r="D84" s="5">
        <v>23.3</v>
      </c>
      <c r="E84" s="4">
        <v>4</v>
      </c>
      <c r="F84" s="4">
        <v>0</v>
      </c>
      <c r="G84" s="4">
        <v>0</v>
      </c>
      <c r="H84" s="4">
        <v>0</v>
      </c>
      <c r="I84" s="4">
        <v>1</v>
      </c>
      <c r="J84" s="4">
        <v>1</v>
      </c>
      <c r="K84" s="4">
        <v>0</v>
      </c>
      <c r="L84" s="4">
        <v>0</v>
      </c>
      <c r="M84" s="4">
        <v>0</v>
      </c>
      <c r="N84" s="6">
        <f t="shared" si="14"/>
        <v>46.6</v>
      </c>
    </row>
    <row r="85" spans="1:14" ht="15.75" customHeight="1">
      <c r="A85" s="2">
        <v>45766</v>
      </c>
      <c r="B85" s="3" t="s">
        <v>17</v>
      </c>
      <c r="C85" s="4">
        <v>5</v>
      </c>
      <c r="D85" s="5">
        <v>28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4" ht="15.75" customHeight="1">
      <c r="A86" s="2">
        <v>45780</v>
      </c>
      <c r="B86" s="3" t="s">
        <v>17</v>
      </c>
      <c r="C86" s="4">
        <v>7</v>
      </c>
      <c r="D86" s="5">
        <v>24.41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</row>
    <row r="87" spans="1:14" ht="15.75" customHeight="1">
      <c r="A87" s="2">
        <v>45787</v>
      </c>
      <c r="B87" s="3" t="s">
        <v>17</v>
      </c>
      <c r="C87" s="4">
        <v>7</v>
      </c>
      <c r="D87" s="5">
        <v>24.37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4" ht="15.75" customHeight="1">
      <c r="A88" s="2">
        <v>45794</v>
      </c>
      <c r="B88" s="3" t="s">
        <v>17</v>
      </c>
      <c r="C88" s="4">
        <v>9</v>
      </c>
      <c r="D88" s="5">
        <v>18.829999999999998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</row>
    <row r="89" spans="1:14" ht="15.75" customHeight="1">
      <c r="A89" s="2">
        <v>45675</v>
      </c>
      <c r="B89" s="3" t="s">
        <v>17</v>
      </c>
      <c r="C89" s="4">
        <v>44</v>
      </c>
      <c r="D89" s="5">
        <v>23.29</v>
      </c>
      <c r="E89" s="4">
        <v>9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6">
        <f>(E89*D89)*50%</f>
        <v>104.80499999999999</v>
      </c>
    </row>
    <row r="90" spans="1:14" ht="15.75" customHeight="1">
      <c r="A90" s="2">
        <v>45801</v>
      </c>
      <c r="B90" s="3" t="s">
        <v>17</v>
      </c>
      <c r="C90" s="4">
        <v>2</v>
      </c>
      <c r="D90" s="5">
        <v>22.75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</row>
    <row r="91" spans="1:14" ht="15.75" customHeight="1">
      <c r="A91" s="2">
        <v>45808</v>
      </c>
      <c r="B91" s="3" t="s">
        <v>17</v>
      </c>
      <c r="C91" s="4">
        <v>3</v>
      </c>
      <c r="D91" s="5">
        <v>30.5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4" ht="15.75" customHeight="1">
      <c r="A92" s="2">
        <v>45661</v>
      </c>
      <c r="B92" s="3" t="s">
        <v>18</v>
      </c>
      <c r="C92" s="4">
        <v>48</v>
      </c>
      <c r="D92" s="5">
        <v>20.14</v>
      </c>
      <c r="E92" s="4">
        <v>1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6">
        <f>(E92*D92)*50%</f>
        <v>10.07</v>
      </c>
    </row>
    <row r="93" spans="1:14" ht="15.75" customHeight="1">
      <c r="A93" s="2">
        <v>45689</v>
      </c>
      <c r="B93" s="3" t="s">
        <v>18</v>
      </c>
      <c r="C93" s="4">
        <v>71</v>
      </c>
      <c r="D93" s="5">
        <v>15.11</v>
      </c>
      <c r="E93" s="4">
        <v>1</v>
      </c>
      <c r="F93" s="4">
        <v>0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6">
        <f>(E93*D93)*30%</f>
        <v>4.5329999999999995</v>
      </c>
    </row>
    <row r="94" spans="1:14" ht="15.75" customHeight="1">
      <c r="A94" s="2">
        <v>45668</v>
      </c>
      <c r="B94" s="3" t="s">
        <v>18</v>
      </c>
      <c r="C94" s="4">
        <v>49</v>
      </c>
      <c r="D94" s="5">
        <v>16.309999999999999</v>
      </c>
      <c r="E94" s="4">
        <v>0</v>
      </c>
      <c r="F94" s="4">
        <v>0</v>
      </c>
      <c r="G94" s="4">
        <v>0</v>
      </c>
      <c r="H94" s="4">
        <v>1</v>
      </c>
      <c r="I94" s="4">
        <v>0</v>
      </c>
      <c r="J94" s="4">
        <v>0</v>
      </c>
      <c r="K94" s="4">
        <v>0</v>
      </c>
      <c r="L94" s="4">
        <v>4</v>
      </c>
      <c r="M94" s="4">
        <v>0</v>
      </c>
    </row>
    <row r="95" spans="1:14" ht="15.75" customHeight="1">
      <c r="A95" s="2">
        <v>45710</v>
      </c>
      <c r="B95" s="3" t="s">
        <v>18</v>
      </c>
      <c r="C95" s="4">
        <v>53</v>
      </c>
      <c r="D95" s="5">
        <v>18.43</v>
      </c>
      <c r="E95" s="4">
        <v>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1</v>
      </c>
      <c r="M95" s="4">
        <v>0</v>
      </c>
      <c r="N95" s="6">
        <f t="shared" ref="N95:N97" si="15">(E95*D95)*15%</f>
        <v>2.7645</v>
      </c>
    </row>
    <row r="96" spans="1:14" ht="15.75" customHeight="1">
      <c r="A96" s="2">
        <v>45731</v>
      </c>
      <c r="B96" s="3" t="s">
        <v>18</v>
      </c>
      <c r="C96" s="4">
        <v>39</v>
      </c>
      <c r="D96" s="5">
        <v>18.43</v>
      </c>
      <c r="E96" s="4">
        <v>1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6">
        <f t="shared" si="15"/>
        <v>2.7645</v>
      </c>
    </row>
    <row r="97" spans="1:14" ht="15.75" customHeight="1">
      <c r="A97" s="2">
        <v>45738</v>
      </c>
      <c r="B97" s="3" t="s">
        <v>18</v>
      </c>
      <c r="C97" s="4">
        <v>35</v>
      </c>
      <c r="D97" s="5">
        <v>18.79</v>
      </c>
      <c r="E97" s="4">
        <v>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6">
        <f t="shared" si="15"/>
        <v>2.8184999999999998</v>
      </c>
    </row>
    <row r="98" spans="1:14" ht="15.75" customHeight="1">
      <c r="A98" s="2">
        <v>45745</v>
      </c>
      <c r="B98" s="3" t="s">
        <v>18</v>
      </c>
      <c r="C98" s="4">
        <v>32</v>
      </c>
      <c r="D98" s="5">
        <v>20.28</v>
      </c>
      <c r="E98" s="4">
        <v>1</v>
      </c>
      <c r="F98" s="4">
        <v>1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6">
        <f>(E98*D98)*30%</f>
        <v>6.0840000000000005</v>
      </c>
    </row>
    <row r="99" spans="1:14" ht="15.75" customHeight="1">
      <c r="A99" s="2">
        <v>45759</v>
      </c>
      <c r="B99" s="3" t="s">
        <v>18</v>
      </c>
      <c r="C99" s="4">
        <v>32</v>
      </c>
      <c r="D99" s="5">
        <v>15.81</v>
      </c>
      <c r="E99" s="4">
        <v>1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6">
        <f>(E99*D99)*50%</f>
        <v>7.9050000000000002</v>
      </c>
    </row>
    <row r="100" spans="1:14" ht="15.75" customHeight="1">
      <c r="A100" s="2">
        <v>45766</v>
      </c>
      <c r="B100" s="3" t="s">
        <v>18</v>
      </c>
      <c r="C100" s="4">
        <v>36</v>
      </c>
      <c r="D100" s="5">
        <v>16.68</v>
      </c>
      <c r="E100" s="4">
        <v>1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6">
        <f t="shared" ref="N100:N102" si="16">(E100*D100)*15%</f>
        <v>2.5019999999999998</v>
      </c>
    </row>
    <row r="101" spans="1:14" ht="15.75" customHeight="1">
      <c r="A101" s="2">
        <v>45773</v>
      </c>
      <c r="B101" s="3" t="s">
        <v>18</v>
      </c>
      <c r="C101" s="4">
        <v>45</v>
      </c>
      <c r="D101" s="5">
        <v>15.9</v>
      </c>
      <c r="E101" s="4">
        <v>1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6">
        <f t="shared" si="16"/>
        <v>2.3849999999999998</v>
      </c>
    </row>
    <row r="102" spans="1:14" ht="15.75" customHeight="1">
      <c r="A102" s="2">
        <v>44193</v>
      </c>
      <c r="B102" s="3" t="s">
        <v>18</v>
      </c>
      <c r="C102" s="4">
        <v>41</v>
      </c>
      <c r="D102" s="5">
        <v>19.62</v>
      </c>
      <c r="E102" s="4">
        <v>2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6">
        <f t="shared" si="16"/>
        <v>5.8860000000000001</v>
      </c>
    </row>
    <row r="103" spans="1:14" ht="15.75" customHeight="1">
      <c r="A103" s="2">
        <v>45752</v>
      </c>
      <c r="B103" s="3" t="s">
        <v>18</v>
      </c>
      <c r="C103" s="4">
        <v>42</v>
      </c>
      <c r="D103" s="5">
        <v>15.76</v>
      </c>
      <c r="E103" s="4">
        <v>2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1</v>
      </c>
      <c r="M103" s="4">
        <v>0</v>
      </c>
      <c r="N103" s="6">
        <f>(E103*D103)*50%</f>
        <v>15.76</v>
      </c>
    </row>
    <row r="104" spans="1:14" ht="15.75" customHeight="1">
      <c r="A104" s="2">
        <v>45696</v>
      </c>
      <c r="B104" s="3" t="s">
        <v>18</v>
      </c>
      <c r="C104" s="4">
        <v>71</v>
      </c>
      <c r="D104" s="5">
        <v>16.100000000000001</v>
      </c>
      <c r="E104" s="4">
        <v>3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6">
        <f>(E104*D104)*30%</f>
        <v>14.49</v>
      </c>
    </row>
    <row r="105" spans="1:14" ht="15.75" customHeight="1">
      <c r="A105" s="2">
        <v>45703</v>
      </c>
      <c r="B105" s="3" t="s">
        <v>18</v>
      </c>
      <c r="C105" s="4">
        <v>49</v>
      </c>
      <c r="D105" s="5">
        <v>18.03</v>
      </c>
      <c r="E105" s="4">
        <v>3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6">
        <f>(E105*D105)*15%</f>
        <v>8.1135000000000002</v>
      </c>
    </row>
    <row r="106" spans="1:14" ht="15.75" customHeight="1">
      <c r="A106" s="2">
        <v>45724</v>
      </c>
      <c r="B106" s="3" t="s">
        <v>18</v>
      </c>
      <c r="C106" s="4">
        <v>43</v>
      </c>
      <c r="D106" s="5">
        <v>16.510000000000002</v>
      </c>
      <c r="E106" s="4">
        <v>3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6">
        <f t="shared" ref="N106:N107" si="17">(E106*D106)*30%</f>
        <v>14.859</v>
      </c>
    </row>
    <row r="107" spans="1:14" ht="15.75" customHeight="1">
      <c r="A107" s="2">
        <v>45780</v>
      </c>
      <c r="B107" s="3" t="s">
        <v>18</v>
      </c>
      <c r="C107" s="4">
        <v>57</v>
      </c>
      <c r="D107" s="5">
        <v>17.43</v>
      </c>
      <c r="E107" s="4">
        <v>3</v>
      </c>
      <c r="F107" s="4">
        <v>0</v>
      </c>
      <c r="G107" s="4">
        <v>1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6">
        <f t="shared" si="17"/>
        <v>15.686999999999999</v>
      </c>
    </row>
    <row r="108" spans="1:14" ht="15.75" customHeight="1">
      <c r="A108" s="2">
        <v>45808</v>
      </c>
      <c r="B108" s="3" t="s">
        <v>18</v>
      </c>
      <c r="C108" s="4">
        <v>46</v>
      </c>
      <c r="D108" s="5">
        <v>16.37</v>
      </c>
      <c r="E108" s="4">
        <v>3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6">
        <f>(E108*D108)*50%</f>
        <v>24.555</v>
      </c>
    </row>
    <row r="109" spans="1:14" ht="15.75" customHeight="1">
      <c r="A109" s="2">
        <v>45682</v>
      </c>
      <c r="B109" s="3" t="s">
        <v>18</v>
      </c>
      <c r="C109" s="4">
        <v>78</v>
      </c>
      <c r="D109" s="5">
        <v>15.55</v>
      </c>
      <c r="E109" s="4">
        <v>4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6">
        <f>(E109*D109)*30%</f>
        <v>18.66</v>
      </c>
    </row>
    <row r="110" spans="1:14" ht="15.75" customHeight="1">
      <c r="A110" s="2">
        <v>45787</v>
      </c>
      <c r="B110" s="3" t="s">
        <v>18</v>
      </c>
      <c r="C110" s="4">
        <v>37</v>
      </c>
      <c r="D110" s="5">
        <v>15.99</v>
      </c>
      <c r="E110" s="4">
        <v>4</v>
      </c>
      <c r="F110" s="4">
        <v>0</v>
      </c>
      <c r="G110" s="4">
        <v>0</v>
      </c>
      <c r="H110" s="4">
        <v>1</v>
      </c>
      <c r="I110" s="4">
        <v>0</v>
      </c>
      <c r="J110" s="4">
        <v>0</v>
      </c>
      <c r="K110" s="4">
        <v>0</v>
      </c>
      <c r="L110" s="4">
        <v>1</v>
      </c>
      <c r="M110" s="4">
        <v>0</v>
      </c>
      <c r="N110" s="6">
        <f t="shared" ref="N110:N111" si="18">(E110*D110)*15%</f>
        <v>9.5939999999999994</v>
      </c>
    </row>
    <row r="111" spans="1:14" ht="15.75" customHeight="1">
      <c r="A111" s="2">
        <v>45717</v>
      </c>
      <c r="B111" s="3" t="s">
        <v>18</v>
      </c>
      <c r="C111" s="4">
        <v>59</v>
      </c>
      <c r="D111" s="5">
        <v>16.829999999999998</v>
      </c>
      <c r="E111" s="4">
        <v>5</v>
      </c>
      <c r="F111" s="4">
        <v>0</v>
      </c>
      <c r="G111" s="4">
        <v>0</v>
      </c>
      <c r="H111" s="4">
        <v>1</v>
      </c>
      <c r="I111" s="4">
        <v>0</v>
      </c>
      <c r="J111" s="4">
        <v>0</v>
      </c>
      <c r="K111" s="4">
        <v>0</v>
      </c>
      <c r="L111" s="4">
        <v>1</v>
      </c>
      <c r="M111" s="4">
        <v>0</v>
      </c>
      <c r="N111" s="6">
        <f t="shared" si="18"/>
        <v>12.622499999999999</v>
      </c>
    </row>
    <row r="112" spans="1:14" ht="15.75" customHeight="1">
      <c r="A112" s="2">
        <v>45794</v>
      </c>
      <c r="B112" s="3" t="s">
        <v>18</v>
      </c>
      <c r="C112" s="4">
        <v>46</v>
      </c>
      <c r="D112" s="5">
        <v>15.55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</row>
    <row r="113" spans="1:14" ht="15.75" customHeight="1">
      <c r="A113" s="2">
        <v>45801</v>
      </c>
      <c r="B113" s="3" t="s">
        <v>18</v>
      </c>
      <c r="C113" s="4">
        <v>26</v>
      </c>
      <c r="D113" s="5">
        <v>15.21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3</v>
      </c>
      <c r="M113" s="4">
        <v>0</v>
      </c>
    </row>
    <row r="114" spans="1:14" ht="15.75" customHeight="1">
      <c r="A114" s="2">
        <v>45675</v>
      </c>
      <c r="B114" s="3" t="s">
        <v>18</v>
      </c>
      <c r="C114" s="4">
        <v>107</v>
      </c>
      <c r="D114" s="5">
        <v>15.76</v>
      </c>
      <c r="E114" s="4">
        <v>9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1</v>
      </c>
      <c r="M114" s="4">
        <v>0</v>
      </c>
      <c r="N114" s="6">
        <f>(E114*D114)*80%</f>
        <v>113.47200000000001</v>
      </c>
    </row>
    <row r="115" spans="1:14" ht="15.75" customHeight="1">
      <c r="A115" s="2">
        <v>44193</v>
      </c>
      <c r="B115" s="3" t="s">
        <v>19</v>
      </c>
      <c r="C115" s="4">
        <v>32</v>
      </c>
      <c r="D115" s="5">
        <v>21.2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2</v>
      </c>
      <c r="M115" s="4">
        <v>0</v>
      </c>
    </row>
    <row r="116" spans="1:14" ht="15.75" customHeight="1">
      <c r="A116" s="2">
        <v>45703</v>
      </c>
      <c r="B116" s="3" t="s">
        <v>19</v>
      </c>
      <c r="C116" s="4">
        <v>36</v>
      </c>
      <c r="D116" s="5">
        <v>22.66</v>
      </c>
      <c r="E116" s="4">
        <v>1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2</v>
      </c>
      <c r="M116" s="4">
        <v>0</v>
      </c>
      <c r="N116" s="6">
        <f t="shared" ref="N116:N117" si="19">(E116*D116)*15%</f>
        <v>3.399</v>
      </c>
    </row>
    <row r="117" spans="1:14" ht="15.75" customHeight="1">
      <c r="A117" s="2">
        <v>45731</v>
      </c>
      <c r="B117" s="3" t="s">
        <v>19</v>
      </c>
      <c r="C117" s="4">
        <v>31</v>
      </c>
      <c r="D117" s="5">
        <v>18.739999999999998</v>
      </c>
      <c r="E117" s="4">
        <v>1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6">
        <f t="shared" si="19"/>
        <v>2.8109999999999995</v>
      </c>
    </row>
    <row r="118" spans="1:14" ht="15.75" customHeight="1">
      <c r="A118" s="2">
        <v>45738</v>
      </c>
      <c r="B118" s="3" t="s">
        <v>19</v>
      </c>
      <c r="C118" s="4">
        <v>42</v>
      </c>
      <c r="D118" s="5">
        <v>23.4</v>
      </c>
      <c r="E118" s="4">
        <v>1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6">
        <f>(E118*D118)*50%</f>
        <v>11.7</v>
      </c>
    </row>
    <row r="119" spans="1:14" ht="15.75" customHeight="1">
      <c r="A119" s="2">
        <v>45787</v>
      </c>
      <c r="B119" s="3" t="s">
        <v>19</v>
      </c>
      <c r="C119" s="4">
        <v>40</v>
      </c>
      <c r="D119" s="5">
        <v>21.26</v>
      </c>
      <c r="E119" s="4">
        <v>1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6">
        <f>(E119*D119)*30%</f>
        <v>6.3780000000000001</v>
      </c>
    </row>
    <row r="120" spans="1:14" ht="15.75" customHeight="1">
      <c r="A120" s="2">
        <v>45794</v>
      </c>
      <c r="B120" s="3" t="s">
        <v>19</v>
      </c>
      <c r="C120" s="4">
        <v>50</v>
      </c>
      <c r="D120" s="5">
        <v>24.7</v>
      </c>
      <c r="E120" s="4">
        <v>1</v>
      </c>
      <c r="F120" s="4">
        <v>0</v>
      </c>
      <c r="G120" s="4">
        <v>0</v>
      </c>
      <c r="H120" s="4">
        <v>1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6">
        <f>(E120*D120)*15%</f>
        <v>3.7049999999999996</v>
      </c>
    </row>
    <row r="121" spans="1:14" ht="15.75" customHeight="1">
      <c r="A121" s="2">
        <v>45661</v>
      </c>
      <c r="B121" s="3" t="s">
        <v>19</v>
      </c>
      <c r="C121" s="4">
        <v>19</v>
      </c>
      <c r="D121" s="5">
        <v>26.88</v>
      </c>
      <c r="E121" s="4">
        <v>2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6">
        <f t="shared" ref="N121:N123" si="20">(E121*D121)*50%</f>
        <v>26.88</v>
      </c>
    </row>
    <row r="122" spans="1:14" ht="15.75" customHeight="1">
      <c r="A122" s="2">
        <v>45675</v>
      </c>
      <c r="B122" s="3" t="s">
        <v>19</v>
      </c>
      <c r="C122" s="4">
        <v>32</v>
      </c>
      <c r="D122" s="5">
        <v>23.13</v>
      </c>
      <c r="E122" s="4">
        <v>2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1</v>
      </c>
      <c r="M122" s="4">
        <v>0</v>
      </c>
      <c r="N122" s="6">
        <f t="shared" si="20"/>
        <v>23.13</v>
      </c>
    </row>
    <row r="123" spans="1:14" ht="15.75" customHeight="1">
      <c r="A123" s="2">
        <v>45689</v>
      </c>
      <c r="B123" s="3" t="s">
        <v>19</v>
      </c>
      <c r="C123" s="4">
        <v>36</v>
      </c>
      <c r="D123" s="5">
        <v>21.02</v>
      </c>
      <c r="E123" s="4">
        <v>2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6">
        <f t="shared" si="20"/>
        <v>21.02</v>
      </c>
    </row>
    <row r="124" spans="1:14" ht="15.75" customHeight="1">
      <c r="A124" s="2">
        <v>45696</v>
      </c>
      <c r="B124" s="3" t="s">
        <v>19</v>
      </c>
      <c r="C124" s="4">
        <v>36</v>
      </c>
      <c r="D124" s="5">
        <v>21.84</v>
      </c>
      <c r="E124" s="4">
        <v>2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1</v>
      </c>
      <c r="M124" s="4">
        <v>0</v>
      </c>
      <c r="N124" s="6">
        <f>(E124*D124)*30%</f>
        <v>13.103999999999999</v>
      </c>
    </row>
    <row r="125" spans="1:14" ht="15.75" customHeight="1">
      <c r="A125" s="2">
        <v>45717</v>
      </c>
      <c r="B125" s="3" t="s">
        <v>19</v>
      </c>
      <c r="C125" s="4">
        <v>39</v>
      </c>
      <c r="D125" s="5">
        <v>19.98</v>
      </c>
      <c r="E125" s="4">
        <v>2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6">
        <f>(E125*D125)*15%</f>
        <v>5.9939999999999998</v>
      </c>
    </row>
    <row r="126" spans="1:14" ht="15.75" customHeight="1">
      <c r="A126" s="2">
        <v>45724</v>
      </c>
      <c r="B126" s="3" t="s">
        <v>19</v>
      </c>
      <c r="C126" s="4">
        <v>45</v>
      </c>
      <c r="D126" s="5">
        <v>21.9</v>
      </c>
      <c r="E126" s="4">
        <v>2</v>
      </c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6">
        <f>(E126*D126)*30%</f>
        <v>13.139999999999999</v>
      </c>
    </row>
    <row r="127" spans="1:14" ht="15.75" customHeight="1">
      <c r="A127" s="2">
        <v>45752</v>
      </c>
      <c r="B127" s="3" t="s">
        <v>19</v>
      </c>
      <c r="C127" s="4">
        <v>31</v>
      </c>
      <c r="D127" s="5">
        <v>24.06</v>
      </c>
      <c r="E127" s="4">
        <v>2</v>
      </c>
      <c r="F127" s="4">
        <v>0</v>
      </c>
      <c r="G127" s="4">
        <v>0</v>
      </c>
      <c r="H127" s="4">
        <v>0</v>
      </c>
      <c r="I127" s="4">
        <v>1</v>
      </c>
      <c r="J127" s="4">
        <v>0</v>
      </c>
      <c r="K127" s="4">
        <v>0</v>
      </c>
      <c r="L127" s="4">
        <v>0</v>
      </c>
      <c r="M127" s="4">
        <v>0</v>
      </c>
      <c r="N127" s="6">
        <f t="shared" ref="N127:N129" si="21">(E127*D127)*50%</f>
        <v>24.06</v>
      </c>
    </row>
    <row r="128" spans="1:14" ht="15.75" customHeight="1">
      <c r="A128" s="2">
        <v>45773</v>
      </c>
      <c r="B128" s="3" t="s">
        <v>19</v>
      </c>
      <c r="C128" s="4">
        <v>51</v>
      </c>
      <c r="D128" s="5">
        <v>22.77</v>
      </c>
      <c r="E128" s="4">
        <v>2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6">
        <f t="shared" si="21"/>
        <v>22.77</v>
      </c>
    </row>
    <row r="129" spans="1:14" ht="15.75" customHeight="1">
      <c r="A129" s="2">
        <v>45808</v>
      </c>
      <c r="B129" s="3" t="s">
        <v>19</v>
      </c>
      <c r="C129" s="4">
        <v>53</v>
      </c>
      <c r="D129" s="5">
        <v>21.63</v>
      </c>
      <c r="E129" s="4">
        <v>2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6">
        <f t="shared" si="21"/>
        <v>21.63</v>
      </c>
    </row>
    <row r="130" spans="1:14" ht="15.75" customHeight="1">
      <c r="A130" s="2">
        <v>45710</v>
      </c>
      <c r="B130" s="3" t="s">
        <v>19</v>
      </c>
      <c r="C130" s="4">
        <v>43</v>
      </c>
      <c r="D130" s="5">
        <v>20.48</v>
      </c>
      <c r="E130" s="4">
        <v>3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6">
        <f>(E130*D130)*30%</f>
        <v>18.431999999999999</v>
      </c>
    </row>
    <row r="131" spans="1:14" ht="15.75" customHeight="1">
      <c r="A131" s="2">
        <v>45745</v>
      </c>
      <c r="B131" s="3" t="s">
        <v>19</v>
      </c>
      <c r="C131" s="4">
        <v>49</v>
      </c>
      <c r="D131" s="5">
        <v>20.49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4" ht="15.75" customHeight="1">
      <c r="A132" s="2">
        <v>45780</v>
      </c>
      <c r="B132" s="3" t="s">
        <v>19</v>
      </c>
      <c r="C132" s="4">
        <v>48</v>
      </c>
      <c r="D132" s="5">
        <v>19.64</v>
      </c>
      <c r="E132" s="4">
        <v>3</v>
      </c>
      <c r="F132" s="4">
        <v>0</v>
      </c>
      <c r="G132" s="4">
        <v>0</v>
      </c>
      <c r="H132" s="4">
        <v>1</v>
      </c>
      <c r="I132" s="4">
        <v>1</v>
      </c>
      <c r="J132" s="4">
        <v>0</v>
      </c>
      <c r="K132" s="4">
        <v>0</v>
      </c>
      <c r="L132" s="4">
        <v>0</v>
      </c>
      <c r="M132" s="4">
        <v>0</v>
      </c>
      <c r="N132" s="6">
        <f t="shared" ref="N132:N133" si="22">(E132*D132)*30%</f>
        <v>17.675999999999998</v>
      </c>
    </row>
    <row r="133" spans="1:14" ht="15.75" customHeight="1">
      <c r="A133" s="2">
        <v>45801</v>
      </c>
      <c r="B133" s="3" t="s">
        <v>19</v>
      </c>
      <c r="C133" s="4">
        <v>61</v>
      </c>
      <c r="D133" s="5">
        <v>18.670000000000002</v>
      </c>
      <c r="E133" s="4">
        <v>3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6">
        <f t="shared" si="22"/>
        <v>16.803000000000001</v>
      </c>
    </row>
    <row r="134" spans="1:14" ht="15.75" customHeight="1">
      <c r="A134" s="2">
        <v>45759</v>
      </c>
      <c r="B134" s="3" t="s">
        <v>19</v>
      </c>
      <c r="C134" s="4">
        <v>38</v>
      </c>
      <c r="D134" s="5">
        <v>23.98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1</v>
      </c>
      <c r="M134" s="4">
        <v>0</v>
      </c>
    </row>
    <row r="135" spans="1:14" ht="15.75" customHeight="1">
      <c r="A135" s="2">
        <v>45682</v>
      </c>
      <c r="B135" s="3" t="s">
        <v>19</v>
      </c>
      <c r="C135" s="4">
        <v>35</v>
      </c>
      <c r="D135" s="5">
        <v>22.22</v>
      </c>
      <c r="E135" s="4">
        <v>4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6">
        <f>(E135*D135)*15%</f>
        <v>13.331999999999999</v>
      </c>
    </row>
    <row r="136" spans="1:14" ht="15.75" customHeight="1">
      <c r="A136" s="2">
        <v>45766</v>
      </c>
      <c r="B136" s="3" t="s">
        <v>19</v>
      </c>
      <c r="C136" s="4">
        <v>32</v>
      </c>
      <c r="D136" s="5">
        <v>23.46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</row>
    <row r="137" spans="1:14" ht="15.75" customHeight="1">
      <c r="A137" s="2">
        <v>45668</v>
      </c>
      <c r="B137" s="3" t="s">
        <v>20</v>
      </c>
      <c r="C137" s="4">
        <v>70</v>
      </c>
      <c r="D137" s="5">
        <v>22.93</v>
      </c>
      <c r="E137" s="4">
        <v>1</v>
      </c>
      <c r="F137" s="4">
        <v>0</v>
      </c>
      <c r="G137" s="4">
        <v>0</v>
      </c>
      <c r="H137" s="4">
        <v>1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6">
        <f>(E137*D137)*30%</f>
        <v>6.8789999999999996</v>
      </c>
    </row>
    <row r="138" spans="1:14" ht="15.75" customHeight="1">
      <c r="A138" s="2">
        <v>45703</v>
      </c>
      <c r="B138" s="3" t="s">
        <v>20</v>
      </c>
      <c r="C138" s="4">
        <v>200</v>
      </c>
      <c r="D138" s="5">
        <v>20.100000000000001</v>
      </c>
      <c r="E138" s="4">
        <v>2</v>
      </c>
      <c r="F138" s="4">
        <v>0</v>
      </c>
      <c r="G138" s="4">
        <v>0</v>
      </c>
      <c r="H138" s="4">
        <v>2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6">
        <f t="shared" ref="N138:N140" si="23">(E138*D138)*50%</f>
        <v>20.100000000000001</v>
      </c>
    </row>
    <row r="139" spans="1:14" ht="15.75" customHeight="1">
      <c r="A139" s="2">
        <v>45710</v>
      </c>
      <c r="B139" s="3" t="s">
        <v>20</v>
      </c>
      <c r="C139" s="4">
        <v>122</v>
      </c>
      <c r="D139" s="5">
        <v>19</v>
      </c>
      <c r="E139" s="4">
        <v>2</v>
      </c>
      <c r="F139" s="4">
        <v>1</v>
      </c>
      <c r="G139" s="4">
        <v>0</v>
      </c>
      <c r="H139" s="4">
        <v>1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6">
        <f t="shared" si="23"/>
        <v>19</v>
      </c>
    </row>
    <row r="140" spans="1:14" ht="15.75" customHeight="1">
      <c r="A140" s="2">
        <v>45731</v>
      </c>
      <c r="B140" s="3" t="s">
        <v>20</v>
      </c>
      <c r="C140" s="4">
        <v>127</v>
      </c>
      <c r="D140" s="5">
        <v>19.7</v>
      </c>
      <c r="E140" s="4">
        <v>2</v>
      </c>
      <c r="F140" s="4">
        <v>0</v>
      </c>
      <c r="G140" s="4">
        <v>1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6">
        <f t="shared" si="23"/>
        <v>19.7</v>
      </c>
    </row>
    <row r="141" spans="1:14" ht="15.75" customHeight="1">
      <c r="A141" s="2">
        <v>45738</v>
      </c>
      <c r="B141" s="3" t="s">
        <v>20</v>
      </c>
      <c r="C141" s="4">
        <v>102</v>
      </c>
      <c r="D141" s="5">
        <v>19.12</v>
      </c>
      <c r="E141" s="4">
        <v>2</v>
      </c>
      <c r="F141" s="4">
        <v>0</v>
      </c>
      <c r="G141" s="4">
        <v>0</v>
      </c>
      <c r="H141" s="4">
        <v>1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6">
        <f>(E141*D141)*30%</f>
        <v>11.472</v>
      </c>
    </row>
    <row r="142" spans="1:14" ht="15.75" customHeight="1">
      <c r="A142" s="2">
        <v>45766</v>
      </c>
      <c r="B142" s="3" t="s">
        <v>20</v>
      </c>
      <c r="C142" s="4">
        <v>94</v>
      </c>
      <c r="D142" s="5">
        <v>19.12</v>
      </c>
      <c r="E142" s="4">
        <v>2</v>
      </c>
      <c r="F142" s="4">
        <v>0</v>
      </c>
      <c r="G142" s="4">
        <v>0</v>
      </c>
      <c r="H142" s="4">
        <v>2</v>
      </c>
      <c r="I142" s="4">
        <v>0</v>
      </c>
      <c r="J142" s="4">
        <v>2</v>
      </c>
      <c r="K142" s="4">
        <v>0</v>
      </c>
      <c r="L142" s="4">
        <v>0</v>
      </c>
      <c r="M142" s="4">
        <v>0</v>
      </c>
      <c r="N142" s="6">
        <f>(E142*D142)*50%</f>
        <v>19.12</v>
      </c>
    </row>
    <row r="143" spans="1:14" ht="15.75" customHeight="1">
      <c r="A143" s="2">
        <v>45661</v>
      </c>
      <c r="B143" s="3" t="s">
        <v>20</v>
      </c>
      <c r="C143" s="4">
        <v>96</v>
      </c>
      <c r="D143" s="5">
        <v>20.14</v>
      </c>
      <c r="E143" s="4">
        <v>3</v>
      </c>
      <c r="F143" s="4">
        <v>0</v>
      </c>
      <c r="G143" s="4">
        <v>0</v>
      </c>
      <c r="H143" s="4">
        <v>2</v>
      </c>
      <c r="I143" s="4">
        <v>1</v>
      </c>
      <c r="J143" s="4">
        <v>0</v>
      </c>
      <c r="K143" s="4">
        <v>0</v>
      </c>
      <c r="L143" s="4">
        <v>0</v>
      </c>
      <c r="M143" s="4">
        <v>0</v>
      </c>
      <c r="N143" s="6">
        <f t="shared" ref="N143:N144" si="24">(E143*D143)*15%</f>
        <v>9.0630000000000006</v>
      </c>
    </row>
    <row r="144" spans="1:14" ht="15.75" customHeight="1">
      <c r="A144" s="2">
        <v>45717</v>
      </c>
      <c r="B144" s="3" t="s">
        <v>20</v>
      </c>
      <c r="C144" s="4">
        <v>144</v>
      </c>
      <c r="D144" s="5">
        <v>19.03</v>
      </c>
      <c r="E144" s="4">
        <v>3</v>
      </c>
      <c r="F144" s="4">
        <v>0</v>
      </c>
      <c r="G144" s="4">
        <v>0</v>
      </c>
      <c r="H144" s="4">
        <v>0</v>
      </c>
      <c r="I144" s="4">
        <v>1</v>
      </c>
      <c r="J144" s="4">
        <v>0</v>
      </c>
      <c r="K144" s="4">
        <v>0</v>
      </c>
      <c r="L144" s="4">
        <v>0</v>
      </c>
      <c r="M144" s="4">
        <v>0</v>
      </c>
      <c r="N144" s="6">
        <f t="shared" si="24"/>
        <v>8.5634999999999994</v>
      </c>
    </row>
    <row r="145" spans="1:14" ht="15.75" customHeight="1">
      <c r="A145" s="2">
        <v>45675</v>
      </c>
      <c r="B145" s="3" t="s">
        <v>20</v>
      </c>
      <c r="C145" s="4">
        <v>185</v>
      </c>
      <c r="D145" s="5">
        <v>19.5</v>
      </c>
      <c r="E145" s="4">
        <v>4</v>
      </c>
      <c r="F145" s="4">
        <v>0</v>
      </c>
      <c r="G145" s="4">
        <v>0</v>
      </c>
      <c r="H145" s="4">
        <v>1</v>
      </c>
      <c r="I145" s="4">
        <v>0</v>
      </c>
      <c r="J145" s="4">
        <v>0</v>
      </c>
      <c r="K145" s="4">
        <v>0</v>
      </c>
      <c r="L145" s="4">
        <v>1</v>
      </c>
      <c r="M145" s="4">
        <v>1</v>
      </c>
      <c r="N145" s="6">
        <f>(E145*D145)*30%</f>
        <v>23.4</v>
      </c>
    </row>
    <row r="146" spans="1:14" ht="15.75" customHeight="1">
      <c r="A146" s="2">
        <v>45724</v>
      </c>
      <c r="B146" s="3" t="s">
        <v>20</v>
      </c>
      <c r="C146" s="4">
        <v>134</v>
      </c>
      <c r="D146" s="5">
        <v>18.64</v>
      </c>
      <c r="E146" s="4">
        <v>4</v>
      </c>
      <c r="F146" s="4">
        <v>1</v>
      </c>
      <c r="G146" s="4">
        <v>0</v>
      </c>
      <c r="H146" s="4">
        <v>1</v>
      </c>
      <c r="I146" s="4">
        <v>0</v>
      </c>
      <c r="J146" s="4">
        <v>0</v>
      </c>
      <c r="K146" s="4">
        <v>0</v>
      </c>
      <c r="L146" s="4">
        <v>0</v>
      </c>
      <c r="M146" s="4">
        <v>1</v>
      </c>
      <c r="N146" s="6">
        <f>(E146*D146)*15%</f>
        <v>11.183999999999999</v>
      </c>
    </row>
    <row r="147" spans="1:14" ht="15.75" customHeight="1">
      <c r="A147" s="2">
        <v>45745</v>
      </c>
      <c r="B147" s="3" t="s">
        <v>20</v>
      </c>
      <c r="C147" s="4">
        <v>120</v>
      </c>
      <c r="D147" s="5">
        <v>20.62</v>
      </c>
      <c r="E147" s="4">
        <v>4</v>
      </c>
      <c r="F147" s="4">
        <v>1</v>
      </c>
      <c r="G147" s="4">
        <v>0</v>
      </c>
      <c r="H147" s="4">
        <v>1</v>
      </c>
      <c r="I147" s="4">
        <v>1</v>
      </c>
      <c r="J147" s="4">
        <v>0</v>
      </c>
      <c r="K147" s="4">
        <v>0</v>
      </c>
      <c r="L147" s="4">
        <v>0</v>
      </c>
      <c r="M147" s="4">
        <v>0</v>
      </c>
      <c r="N147" s="6">
        <f>(E147*D147)*30%</f>
        <v>24.744</v>
      </c>
    </row>
    <row r="148" spans="1:14" ht="15.75" customHeight="1">
      <c r="A148" s="2">
        <v>45759</v>
      </c>
      <c r="B148" s="3" t="s">
        <v>20</v>
      </c>
      <c r="C148" s="4">
        <v>91</v>
      </c>
      <c r="D148" s="5">
        <v>18.91</v>
      </c>
      <c r="E148" s="4">
        <v>4</v>
      </c>
      <c r="F148" s="4">
        <v>0</v>
      </c>
      <c r="G148" s="4">
        <v>0</v>
      </c>
      <c r="H148" s="4">
        <v>0</v>
      </c>
      <c r="I148" s="4">
        <v>0</v>
      </c>
      <c r="J148" s="4">
        <v>5</v>
      </c>
      <c r="K148" s="4">
        <v>0</v>
      </c>
      <c r="L148" s="4">
        <v>0</v>
      </c>
      <c r="M148" s="4">
        <v>0</v>
      </c>
      <c r="N148" s="6">
        <f t="shared" ref="N148:N150" si="25">(E148*D148)*50%</f>
        <v>37.82</v>
      </c>
    </row>
    <row r="149" spans="1:14" ht="15.75" customHeight="1">
      <c r="A149" s="2">
        <v>45752</v>
      </c>
      <c r="B149" s="3" t="s">
        <v>20</v>
      </c>
      <c r="C149" s="4">
        <v>108</v>
      </c>
      <c r="D149" s="5">
        <v>18.97</v>
      </c>
      <c r="E149" s="4">
        <v>5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6">
        <f t="shared" si="25"/>
        <v>47.424999999999997</v>
      </c>
    </row>
    <row r="150" spans="1:14" ht="15.75" customHeight="1">
      <c r="A150" s="2">
        <v>44193</v>
      </c>
      <c r="B150" s="3" t="s">
        <v>20</v>
      </c>
      <c r="C150" s="4">
        <v>109</v>
      </c>
      <c r="D150" s="5">
        <v>20.39</v>
      </c>
      <c r="E150" s="4">
        <v>6</v>
      </c>
      <c r="F150" s="4">
        <v>0</v>
      </c>
      <c r="G150" s="4">
        <v>0</v>
      </c>
      <c r="H150" s="4">
        <v>4</v>
      </c>
      <c r="I150" s="4">
        <v>0</v>
      </c>
      <c r="J150" s="4">
        <v>0</v>
      </c>
      <c r="K150" s="4">
        <v>0</v>
      </c>
      <c r="L150" s="4">
        <v>1</v>
      </c>
      <c r="M150" s="4">
        <v>1</v>
      </c>
      <c r="N150" s="6">
        <f t="shared" si="25"/>
        <v>61.17</v>
      </c>
    </row>
    <row r="151" spans="1:14" ht="15.75" customHeight="1">
      <c r="A151" s="2">
        <v>45682</v>
      </c>
      <c r="B151" s="3" t="s">
        <v>20</v>
      </c>
      <c r="C151" s="4">
        <v>160</v>
      </c>
      <c r="D151" s="5">
        <v>19.149999999999999</v>
      </c>
      <c r="E151" s="4">
        <v>6</v>
      </c>
      <c r="F151" s="4">
        <v>0</v>
      </c>
      <c r="G151" s="4">
        <v>0</v>
      </c>
      <c r="H151" s="4">
        <v>3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6">
        <f>(E151*D151)*15%</f>
        <v>17.234999999999999</v>
      </c>
    </row>
    <row r="152" spans="1:14" ht="15.75" customHeight="1">
      <c r="A152" s="2">
        <v>45780</v>
      </c>
      <c r="B152" s="3" t="s">
        <v>20</v>
      </c>
      <c r="C152" s="4">
        <v>108</v>
      </c>
      <c r="D152" s="5">
        <v>19.39</v>
      </c>
      <c r="E152" s="4">
        <v>8</v>
      </c>
      <c r="F152" s="4">
        <v>0</v>
      </c>
      <c r="G152" s="4">
        <v>0</v>
      </c>
      <c r="H152" s="4">
        <v>0</v>
      </c>
      <c r="I152" s="4">
        <v>1</v>
      </c>
      <c r="J152" s="4">
        <v>1</v>
      </c>
      <c r="K152" s="4">
        <v>0</v>
      </c>
      <c r="L152" s="4">
        <v>0</v>
      </c>
      <c r="M152" s="4">
        <v>0</v>
      </c>
      <c r="N152" s="6">
        <f t="shared" ref="N152:N153" si="26">(E152*D152)*50%</f>
        <v>77.56</v>
      </c>
    </row>
    <row r="153" spans="1:14" ht="15.75" customHeight="1">
      <c r="A153" s="2">
        <v>45689</v>
      </c>
      <c r="B153" s="3" t="s">
        <v>20</v>
      </c>
      <c r="C153" s="4">
        <v>184</v>
      </c>
      <c r="D153" s="5">
        <v>20.23</v>
      </c>
      <c r="E153" s="4">
        <v>10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6">
        <f t="shared" si="26"/>
        <v>101.15</v>
      </c>
    </row>
    <row r="154" spans="1:14" ht="15.75" customHeight="1">
      <c r="A154" s="2">
        <v>45773</v>
      </c>
      <c r="B154" s="3" t="s">
        <v>20</v>
      </c>
      <c r="C154" s="4">
        <v>90</v>
      </c>
      <c r="D154" s="5">
        <v>20.18</v>
      </c>
      <c r="E154" s="4">
        <v>10</v>
      </c>
      <c r="F154" s="4">
        <v>0</v>
      </c>
      <c r="G154" s="4">
        <v>0</v>
      </c>
      <c r="H154" s="4">
        <v>0</v>
      </c>
      <c r="I154" s="4">
        <v>1</v>
      </c>
      <c r="J154" s="4">
        <v>2</v>
      </c>
      <c r="K154" s="4">
        <v>0</v>
      </c>
      <c r="L154" s="4">
        <v>0</v>
      </c>
      <c r="M154" s="4">
        <v>0</v>
      </c>
      <c r="N154" s="6">
        <f>(E154*D154)*30%</f>
        <v>60.54</v>
      </c>
    </row>
    <row r="155" spans="1:14" ht="15.75" customHeight="1">
      <c r="A155" s="2">
        <v>45696</v>
      </c>
      <c r="B155" s="3" t="s">
        <v>20</v>
      </c>
      <c r="C155" s="4">
        <v>171</v>
      </c>
      <c r="D155" s="5">
        <v>19.239999999999998</v>
      </c>
      <c r="E155" s="4">
        <v>12</v>
      </c>
      <c r="F155" s="4">
        <v>1</v>
      </c>
      <c r="G155" s="4">
        <v>0</v>
      </c>
      <c r="H155" s="4">
        <v>0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  <c r="N155" s="6">
        <f>(E155*D155)*15%</f>
        <v>34.631999999999998</v>
      </c>
    </row>
    <row r="156" spans="1:14" ht="15.75" customHeight="1">
      <c r="A156" s="2">
        <v>45794</v>
      </c>
      <c r="B156" s="3" t="s">
        <v>20</v>
      </c>
      <c r="C156" s="4">
        <v>60</v>
      </c>
      <c r="D156" s="5">
        <v>19.88</v>
      </c>
      <c r="E156" s="4">
        <v>12</v>
      </c>
      <c r="F156" s="4">
        <v>0</v>
      </c>
      <c r="G156" s="4">
        <v>0</v>
      </c>
      <c r="H156" s="4">
        <v>0</v>
      </c>
      <c r="I156" s="4">
        <v>0</v>
      </c>
      <c r="J156" s="4">
        <v>1</v>
      </c>
      <c r="K156" s="4">
        <v>0</v>
      </c>
      <c r="L156" s="4">
        <v>0</v>
      </c>
      <c r="M156" s="4">
        <v>0</v>
      </c>
      <c r="N156" s="6">
        <f>(E156*D156)*80%</f>
        <v>190.84800000000001</v>
      </c>
    </row>
    <row r="157" spans="1:14" ht="15.75" customHeight="1">
      <c r="A157" s="2">
        <v>45808</v>
      </c>
      <c r="B157" s="3" t="s">
        <v>20</v>
      </c>
      <c r="C157" s="4">
        <v>50</v>
      </c>
      <c r="D157" s="5">
        <v>17.98</v>
      </c>
      <c r="E157" s="4">
        <v>13</v>
      </c>
      <c r="F157" s="4">
        <v>0</v>
      </c>
      <c r="G157" s="4">
        <v>0</v>
      </c>
      <c r="H157" s="4">
        <v>1</v>
      </c>
      <c r="I157" s="4">
        <v>0</v>
      </c>
      <c r="J157" s="4">
        <v>6</v>
      </c>
      <c r="K157" s="4">
        <v>0</v>
      </c>
      <c r="L157" s="4">
        <v>0</v>
      </c>
      <c r="M157" s="4">
        <v>0</v>
      </c>
      <c r="N157" s="6">
        <f>(E157*D157)*50%</f>
        <v>116.87</v>
      </c>
    </row>
    <row r="158" spans="1:14" ht="15.75" customHeight="1">
      <c r="A158" s="2">
        <v>45787</v>
      </c>
      <c r="B158" s="3" t="s">
        <v>20</v>
      </c>
      <c r="C158" s="4">
        <v>94</v>
      </c>
      <c r="D158" s="5">
        <v>18.63</v>
      </c>
      <c r="E158" s="4">
        <v>14</v>
      </c>
      <c r="F158" s="4">
        <v>0</v>
      </c>
      <c r="G158" s="4">
        <v>0</v>
      </c>
      <c r="H158" s="4">
        <v>0</v>
      </c>
      <c r="I158" s="4">
        <v>0</v>
      </c>
      <c r="J158" s="4">
        <v>4</v>
      </c>
      <c r="K158" s="4">
        <v>0</v>
      </c>
      <c r="L158" s="4">
        <v>0</v>
      </c>
      <c r="M158" s="4">
        <v>0</v>
      </c>
      <c r="N158" s="6">
        <f>(E158*D158)*80%</f>
        <v>208.65600000000001</v>
      </c>
    </row>
    <row r="159" spans="1:14" ht="15.75" customHeight="1">
      <c r="A159" s="2">
        <v>45801</v>
      </c>
      <c r="B159" s="3" t="s">
        <v>20</v>
      </c>
      <c r="C159" s="4">
        <v>70</v>
      </c>
      <c r="D159" s="5">
        <v>18.13</v>
      </c>
      <c r="E159" s="4">
        <v>15</v>
      </c>
      <c r="F159" s="4">
        <v>0</v>
      </c>
      <c r="G159" s="4">
        <v>0</v>
      </c>
      <c r="H159" s="4">
        <v>0</v>
      </c>
      <c r="I159" s="4">
        <v>0</v>
      </c>
      <c r="J159" s="4">
        <v>3</v>
      </c>
      <c r="K159" s="4">
        <v>0</v>
      </c>
      <c r="L159" s="4">
        <v>0</v>
      </c>
      <c r="M159" s="4">
        <v>0</v>
      </c>
      <c r="N159" s="6">
        <f>(E159*D159)*30%</f>
        <v>81.584999999999994</v>
      </c>
    </row>
    <row r="160" spans="1:14" ht="15.75" customHeight="1">
      <c r="A160" s="2">
        <v>45682</v>
      </c>
      <c r="B160" s="3" t="s">
        <v>21</v>
      </c>
      <c r="C160" s="4">
        <v>113</v>
      </c>
      <c r="D160" s="5">
        <v>20</v>
      </c>
      <c r="E160" s="4">
        <v>1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6">
        <f>(E160*D160)*80%</f>
        <v>16</v>
      </c>
    </row>
    <row r="161" spans="1:14" ht="15.75" customHeight="1">
      <c r="A161" s="2">
        <v>45696</v>
      </c>
      <c r="B161" s="3" t="s">
        <v>21</v>
      </c>
      <c r="C161" s="4">
        <v>73</v>
      </c>
      <c r="D161" s="5">
        <v>22.31</v>
      </c>
      <c r="E161" s="4">
        <v>1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6">
        <f>(E161*D161)*30%</f>
        <v>6.6929999999999996</v>
      </c>
    </row>
    <row r="162" spans="1:14" ht="15.75" customHeight="1">
      <c r="A162" s="2">
        <v>45668</v>
      </c>
      <c r="B162" s="3" t="s">
        <v>21</v>
      </c>
      <c r="C162" s="4">
        <v>0</v>
      </c>
      <c r="D162" s="3"/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</row>
    <row r="163" spans="1:14" ht="15.75" customHeight="1">
      <c r="A163" s="2">
        <v>45724</v>
      </c>
      <c r="B163" s="3" t="s">
        <v>21</v>
      </c>
      <c r="C163" s="4">
        <v>95</v>
      </c>
      <c r="D163" s="5">
        <v>19.98</v>
      </c>
      <c r="E163" s="4">
        <v>1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2</v>
      </c>
      <c r="N163" s="6">
        <f>(E163*D163)*50%</f>
        <v>9.99</v>
      </c>
    </row>
    <row r="164" spans="1:14" ht="15.75" customHeight="1">
      <c r="A164" s="2">
        <v>45738</v>
      </c>
      <c r="B164" s="3" t="s">
        <v>21</v>
      </c>
      <c r="C164" s="4">
        <v>86</v>
      </c>
      <c r="D164" s="5">
        <v>20.89</v>
      </c>
      <c r="E164" s="4">
        <v>1</v>
      </c>
      <c r="F164" s="4">
        <v>1</v>
      </c>
      <c r="G164" s="4">
        <v>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6">
        <f>(E164*D164)*15%</f>
        <v>3.1335000000000002</v>
      </c>
    </row>
    <row r="165" spans="1:14" ht="15.75" customHeight="1">
      <c r="A165" s="2">
        <v>45759</v>
      </c>
      <c r="B165" s="3" t="s">
        <v>21</v>
      </c>
      <c r="C165" s="4">
        <v>127</v>
      </c>
      <c r="D165" s="5">
        <v>19.89</v>
      </c>
      <c r="E165" s="4">
        <v>1</v>
      </c>
      <c r="F165" s="4">
        <v>0</v>
      </c>
      <c r="G165" s="4">
        <v>0</v>
      </c>
      <c r="H165" s="4">
        <v>0</v>
      </c>
      <c r="I165" s="4">
        <v>1</v>
      </c>
      <c r="J165" s="4">
        <v>0</v>
      </c>
      <c r="K165" s="4">
        <v>0</v>
      </c>
      <c r="L165" s="4">
        <v>0</v>
      </c>
      <c r="M165" s="4">
        <v>0</v>
      </c>
      <c r="N165" s="6">
        <f t="shared" ref="N165:N166" si="27">(E165*D165)*50%</f>
        <v>9.9450000000000003</v>
      </c>
    </row>
    <row r="166" spans="1:14" ht="15.75" customHeight="1">
      <c r="A166" s="2">
        <v>45801</v>
      </c>
      <c r="B166" s="3" t="s">
        <v>21</v>
      </c>
      <c r="C166" s="4">
        <v>122</v>
      </c>
      <c r="D166" s="5">
        <v>19.45</v>
      </c>
      <c r="E166" s="4">
        <v>1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6">
        <f t="shared" si="27"/>
        <v>9.7249999999999996</v>
      </c>
    </row>
    <row r="167" spans="1:14" ht="15.75" customHeight="1">
      <c r="A167" s="2">
        <v>45703</v>
      </c>
      <c r="B167" s="3" t="s">
        <v>21</v>
      </c>
      <c r="C167" s="4">
        <v>124</v>
      </c>
      <c r="D167" s="5">
        <v>19.05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4" ht="15.75" customHeight="1">
      <c r="A168" s="2">
        <v>45773</v>
      </c>
      <c r="B168" s="3" t="s">
        <v>21</v>
      </c>
      <c r="C168" s="4">
        <v>145</v>
      </c>
      <c r="D168" s="5">
        <v>18.239999999999998</v>
      </c>
      <c r="E168" s="4">
        <v>2</v>
      </c>
      <c r="F168" s="4">
        <v>0</v>
      </c>
      <c r="G168" s="4">
        <v>1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6">
        <f>(E168*D168)*30%</f>
        <v>10.943999999999999</v>
      </c>
    </row>
    <row r="169" spans="1:14" ht="15.75" customHeight="1">
      <c r="A169" s="2">
        <v>45794</v>
      </c>
      <c r="B169" s="3" t="s">
        <v>21</v>
      </c>
      <c r="C169" s="4">
        <v>111</v>
      </c>
      <c r="D169" s="5">
        <v>18.03</v>
      </c>
      <c r="E169" s="4">
        <v>2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6">
        <f>(E169*D169)*50%</f>
        <v>18.03</v>
      </c>
    </row>
    <row r="170" spans="1:14" ht="15.75" customHeight="1">
      <c r="A170" s="2">
        <v>45808</v>
      </c>
      <c r="B170" s="3" t="s">
        <v>21</v>
      </c>
      <c r="C170" s="4">
        <v>110</v>
      </c>
      <c r="D170" s="5">
        <v>20.2</v>
      </c>
      <c r="E170" s="4">
        <v>2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6">
        <f t="shared" ref="N170:N171" si="28">(E170*D170)*30%</f>
        <v>12.12</v>
      </c>
    </row>
    <row r="171" spans="1:14" ht="15.75" customHeight="1">
      <c r="A171" s="2">
        <v>45661</v>
      </c>
      <c r="B171" s="3" t="s">
        <v>21</v>
      </c>
      <c r="C171" s="4">
        <v>83</v>
      </c>
      <c r="D171" s="5">
        <v>23.56</v>
      </c>
      <c r="E171" s="4">
        <v>3</v>
      </c>
      <c r="F171" s="4">
        <v>0</v>
      </c>
      <c r="G171" s="4">
        <v>1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6">
        <f t="shared" si="28"/>
        <v>21.203999999999997</v>
      </c>
    </row>
    <row r="172" spans="1:14" ht="15.75" customHeight="1">
      <c r="A172" s="2">
        <v>45717</v>
      </c>
      <c r="B172" s="3" t="s">
        <v>21</v>
      </c>
      <c r="C172" s="4">
        <v>105</v>
      </c>
      <c r="D172" s="5">
        <v>20.89</v>
      </c>
      <c r="E172" s="4">
        <v>3</v>
      </c>
      <c r="F172" s="4">
        <v>1</v>
      </c>
      <c r="G172" s="4">
        <v>0</v>
      </c>
      <c r="H172" s="4">
        <v>2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6">
        <f>(E172*D172)*50%</f>
        <v>31.335000000000001</v>
      </c>
    </row>
    <row r="173" spans="1:14" ht="15.75" customHeight="1">
      <c r="A173" s="2">
        <v>45745</v>
      </c>
      <c r="B173" s="3" t="s">
        <v>21</v>
      </c>
      <c r="C173" s="4">
        <v>119</v>
      </c>
      <c r="D173" s="5">
        <v>21.38</v>
      </c>
      <c r="E173" s="4">
        <v>0</v>
      </c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4" ht="15.75" customHeight="1">
      <c r="A174" s="2">
        <v>45766</v>
      </c>
      <c r="B174" s="3" t="s">
        <v>21</v>
      </c>
      <c r="C174" s="4">
        <v>128</v>
      </c>
      <c r="D174" s="5">
        <v>20.32</v>
      </c>
      <c r="E174" s="4">
        <v>3</v>
      </c>
      <c r="F174" s="4">
        <v>0</v>
      </c>
      <c r="G174" s="4">
        <v>1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6">
        <f>(E174*D174)*15%</f>
        <v>9.1440000000000001</v>
      </c>
    </row>
    <row r="175" spans="1:14" ht="15.75" customHeight="1">
      <c r="A175" s="2">
        <v>45780</v>
      </c>
      <c r="B175" s="3" t="s">
        <v>21</v>
      </c>
      <c r="C175" s="4">
        <v>108</v>
      </c>
      <c r="D175" s="5">
        <v>20.66</v>
      </c>
      <c r="E175" s="4">
        <v>3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6">
        <f>(E175*D175)*50%</f>
        <v>30.990000000000002</v>
      </c>
    </row>
    <row r="176" spans="1:14" ht="15.75" customHeight="1">
      <c r="A176" s="2">
        <v>45752</v>
      </c>
      <c r="B176" s="3" t="s">
        <v>21</v>
      </c>
      <c r="C176" s="4">
        <v>124</v>
      </c>
      <c r="D176" s="5">
        <v>18.239999999999998</v>
      </c>
      <c r="E176" s="4">
        <v>0</v>
      </c>
      <c r="F176" s="4">
        <v>1</v>
      </c>
      <c r="G176" s="4">
        <v>0</v>
      </c>
      <c r="H176" s="4">
        <v>1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</row>
    <row r="177" spans="1:14" ht="15.75" customHeight="1">
      <c r="A177" s="2">
        <v>45787</v>
      </c>
      <c r="B177" s="3" t="s">
        <v>21</v>
      </c>
      <c r="C177" s="4">
        <v>117</v>
      </c>
      <c r="D177" s="5">
        <v>18.329999999999998</v>
      </c>
      <c r="E177" s="4">
        <v>3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6">
        <f>(E177*D177)*30%</f>
        <v>16.496999999999996</v>
      </c>
    </row>
    <row r="178" spans="1:14" ht="15.75" customHeight="1">
      <c r="A178" s="2">
        <v>44193</v>
      </c>
      <c r="B178" s="3" t="s">
        <v>21</v>
      </c>
      <c r="C178" s="4">
        <v>114</v>
      </c>
      <c r="D178" s="5">
        <v>22.81</v>
      </c>
      <c r="E178" s="4">
        <v>4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6">
        <f t="shared" ref="N178:N179" si="29">(E178*D178)*15%</f>
        <v>13.685999999999998</v>
      </c>
    </row>
    <row r="179" spans="1:14" ht="15.75" customHeight="1">
      <c r="A179" s="2">
        <v>45675</v>
      </c>
      <c r="B179" s="3" t="s">
        <v>21</v>
      </c>
      <c r="C179" s="4">
        <v>118</v>
      </c>
      <c r="D179" s="5">
        <v>20.3</v>
      </c>
      <c r="E179" s="4">
        <v>4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6">
        <f t="shared" si="29"/>
        <v>12.18</v>
      </c>
    </row>
    <row r="180" spans="1:14" ht="15.75" customHeight="1">
      <c r="A180" s="2">
        <v>45710</v>
      </c>
      <c r="B180" s="3" t="s">
        <v>21</v>
      </c>
      <c r="C180" s="4">
        <v>127</v>
      </c>
      <c r="D180" s="5">
        <v>20.12</v>
      </c>
      <c r="E180" s="4">
        <v>4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6">
        <f>(E180*D180)*50%</f>
        <v>40.24</v>
      </c>
    </row>
    <row r="181" spans="1:14" ht="15.75" customHeight="1">
      <c r="A181" s="2">
        <v>45689</v>
      </c>
      <c r="B181" s="3" t="s">
        <v>21</v>
      </c>
      <c r="C181" s="4">
        <v>112</v>
      </c>
      <c r="D181" s="5">
        <v>21.68</v>
      </c>
      <c r="E181" s="4">
        <v>6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6">
        <f t="shared" ref="N181:N183" si="30">(E181*D181)*30%</f>
        <v>39.023999999999994</v>
      </c>
    </row>
    <row r="182" spans="1:14" ht="15.75" customHeight="1">
      <c r="A182" s="2">
        <v>45731</v>
      </c>
      <c r="B182" s="3" t="s">
        <v>21</v>
      </c>
      <c r="C182" s="4">
        <v>91</v>
      </c>
      <c r="D182" s="5">
        <v>21.52</v>
      </c>
      <c r="E182" s="4">
        <v>7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6">
        <f t="shared" si="30"/>
        <v>45.191999999999993</v>
      </c>
    </row>
    <row r="183" spans="1:14" ht="15.75" customHeight="1">
      <c r="A183" s="2">
        <v>44193</v>
      </c>
      <c r="B183" s="3" t="s">
        <v>22</v>
      </c>
      <c r="C183" s="4">
        <v>88</v>
      </c>
      <c r="D183" s="5">
        <v>20.92</v>
      </c>
      <c r="E183" s="4">
        <v>3</v>
      </c>
      <c r="F183" s="4">
        <v>1</v>
      </c>
      <c r="G183" s="4">
        <v>0</v>
      </c>
      <c r="H183" s="4">
        <v>1</v>
      </c>
      <c r="I183" s="4">
        <v>0</v>
      </c>
      <c r="J183" s="4">
        <v>0</v>
      </c>
      <c r="K183" s="4">
        <v>4</v>
      </c>
      <c r="L183" s="4">
        <v>2</v>
      </c>
      <c r="M183" s="4">
        <v>0</v>
      </c>
      <c r="N183" s="6">
        <f t="shared" si="30"/>
        <v>18.827999999999999</v>
      </c>
    </row>
    <row r="184" spans="1:14" ht="15.75" customHeight="1">
      <c r="A184" s="2">
        <v>45682</v>
      </c>
      <c r="B184" s="3" t="s">
        <v>22</v>
      </c>
      <c r="C184" s="4">
        <v>116</v>
      </c>
      <c r="D184" s="5">
        <v>18.62</v>
      </c>
      <c r="E184" s="4">
        <v>3</v>
      </c>
      <c r="F184" s="4">
        <v>1</v>
      </c>
      <c r="G184" s="4">
        <v>0</v>
      </c>
      <c r="H184" s="4">
        <v>0</v>
      </c>
      <c r="I184" s="4">
        <v>0</v>
      </c>
      <c r="J184" s="4">
        <v>0</v>
      </c>
      <c r="K184" s="4">
        <v>1</v>
      </c>
      <c r="L184" s="4">
        <v>0</v>
      </c>
      <c r="M184" s="4">
        <v>0</v>
      </c>
      <c r="N184" s="6">
        <f>(E184*D184)*15%</f>
        <v>8.3789999999999996</v>
      </c>
    </row>
    <row r="185" spans="1:14" ht="15.75" customHeight="1">
      <c r="A185" s="2">
        <v>45787</v>
      </c>
      <c r="B185" s="3" t="s">
        <v>22</v>
      </c>
      <c r="C185" s="4">
        <v>90</v>
      </c>
      <c r="D185" s="5">
        <v>20.28</v>
      </c>
      <c r="E185" s="4">
        <v>3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6">
        <f>(E185*D185)*30%</f>
        <v>18.251999999999999</v>
      </c>
    </row>
    <row r="186" spans="1:14" ht="15.75" customHeight="1">
      <c r="A186" s="2">
        <v>45808</v>
      </c>
      <c r="B186" s="3" t="s">
        <v>22</v>
      </c>
      <c r="C186" s="4">
        <v>99</v>
      </c>
      <c r="D186" s="5">
        <v>20.149999999999999</v>
      </c>
      <c r="E186" s="4">
        <v>3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6">
        <f>(E186*D186)*15%</f>
        <v>9.067499999999999</v>
      </c>
    </row>
    <row r="187" spans="1:14" ht="15.75" customHeight="1">
      <c r="A187" s="2">
        <v>45717</v>
      </c>
      <c r="B187" s="3" t="s">
        <v>22</v>
      </c>
      <c r="C187" s="4">
        <v>114</v>
      </c>
      <c r="D187" s="5">
        <v>20.67</v>
      </c>
      <c r="E187" s="4">
        <v>4</v>
      </c>
      <c r="F187" s="4">
        <v>1</v>
      </c>
      <c r="G187" s="4">
        <v>1</v>
      </c>
      <c r="H187" s="4">
        <v>1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6">
        <f t="shared" ref="N187:N188" si="31">(E187*D187)*50%</f>
        <v>41.34</v>
      </c>
    </row>
    <row r="188" spans="1:14" ht="15.75" customHeight="1">
      <c r="A188" s="2">
        <v>45794</v>
      </c>
      <c r="B188" s="3" t="s">
        <v>22</v>
      </c>
      <c r="C188" s="4">
        <v>85</v>
      </c>
      <c r="D188" s="5">
        <v>18.79</v>
      </c>
      <c r="E188" s="4">
        <v>4</v>
      </c>
      <c r="F188" s="4">
        <v>0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6">
        <f t="shared" si="31"/>
        <v>37.58</v>
      </c>
    </row>
    <row r="189" spans="1:14" ht="15.75" customHeight="1">
      <c r="A189" s="2">
        <v>45668</v>
      </c>
      <c r="B189" s="3" t="s">
        <v>22</v>
      </c>
      <c r="C189" s="4">
        <v>46</v>
      </c>
      <c r="D189" s="5">
        <v>19.87</v>
      </c>
      <c r="E189" s="4">
        <v>5</v>
      </c>
      <c r="F189" s="4">
        <v>0</v>
      </c>
      <c r="G189" s="4">
        <v>0</v>
      </c>
      <c r="H189" s="4">
        <v>1</v>
      </c>
      <c r="I189" s="4">
        <v>1</v>
      </c>
      <c r="J189" s="4">
        <v>0</v>
      </c>
      <c r="K189" s="4">
        <v>0</v>
      </c>
      <c r="L189" s="4">
        <v>0</v>
      </c>
      <c r="M189" s="4">
        <v>0</v>
      </c>
      <c r="N189" s="6">
        <f>(E189*D189)*15%</f>
        <v>14.9025</v>
      </c>
    </row>
    <row r="190" spans="1:14" ht="15.75" customHeight="1">
      <c r="A190" s="2">
        <v>45724</v>
      </c>
      <c r="B190" s="3" t="s">
        <v>22</v>
      </c>
      <c r="C190" s="4">
        <v>91</v>
      </c>
      <c r="D190" s="5">
        <v>18.649999999999999</v>
      </c>
      <c r="E190" s="4">
        <v>5</v>
      </c>
      <c r="F190" s="4">
        <v>0</v>
      </c>
      <c r="G190" s="4">
        <v>1</v>
      </c>
      <c r="H190" s="4">
        <v>2</v>
      </c>
      <c r="I190" s="4">
        <v>0</v>
      </c>
      <c r="J190" s="4">
        <v>0</v>
      </c>
      <c r="K190" s="4">
        <v>1</v>
      </c>
      <c r="L190" s="4">
        <v>0</v>
      </c>
      <c r="M190" s="4">
        <v>0</v>
      </c>
      <c r="N190" s="6">
        <f>(E190*D190)*30%</f>
        <v>27.974999999999998</v>
      </c>
    </row>
    <row r="191" spans="1:14" ht="15.75" customHeight="1">
      <c r="A191" s="2">
        <v>45745</v>
      </c>
      <c r="B191" s="3" t="s">
        <v>22</v>
      </c>
      <c r="C191" s="4">
        <v>94</v>
      </c>
      <c r="D191" s="5">
        <v>19.53</v>
      </c>
      <c r="E191" s="4">
        <v>5</v>
      </c>
      <c r="F191" s="4">
        <v>0</v>
      </c>
      <c r="G191" s="4">
        <v>0</v>
      </c>
      <c r="H191" s="4">
        <v>1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6">
        <f>(E191*D191)*50%</f>
        <v>48.825000000000003</v>
      </c>
    </row>
    <row r="192" spans="1:14" ht="15.75" customHeight="1">
      <c r="A192" s="2">
        <v>45752</v>
      </c>
      <c r="B192" s="3" t="s">
        <v>22</v>
      </c>
      <c r="C192" s="4">
        <v>88</v>
      </c>
      <c r="D192" s="5">
        <v>21.12</v>
      </c>
      <c r="E192" s="4">
        <v>5</v>
      </c>
      <c r="F192" s="4">
        <v>1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6">
        <f>(E192*D192)*30%</f>
        <v>31.68</v>
      </c>
    </row>
    <row r="193" spans="1:14" ht="15.75" customHeight="1">
      <c r="A193" s="2">
        <v>45738</v>
      </c>
      <c r="B193" s="3" t="s">
        <v>22</v>
      </c>
      <c r="C193" s="4">
        <v>88</v>
      </c>
      <c r="D193" s="5">
        <v>20.91</v>
      </c>
      <c r="E193" s="4">
        <v>6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6">
        <f t="shared" ref="N193:N194" si="32">(E193*D193)*50%</f>
        <v>62.730000000000004</v>
      </c>
    </row>
    <row r="194" spans="1:14" ht="15.75" customHeight="1">
      <c r="A194" s="2">
        <v>45759</v>
      </c>
      <c r="B194" s="3" t="s">
        <v>22</v>
      </c>
      <c r="C194" s="4">
        <v>95</v>
      </c>
      <c r="D194" s="5">
        <v>18.190000000000001</v>
      </c>
      <c r="E194" s="4">
        <v>6</v>
      </c>
      <c r="F194" s="4">
        <v>1</v>
      </c>
      <c r="G194" s="4">
        <v>0</v>
      </c>
      <c r="H194" s="4">
        <v>1</v>
      </c>
      <c r="I194" s="4">
        <v>0</v>
      </c>
      <c r="J194" s="4">
        <v>1</v>
      </c>
      <c r="K194" s="4">
        <v>0</v>
      </c>
      <c r="L194" s="4">
        <v>0</v>
      </c>
      <c r="M194" s="4">
        <v>2</v>
      </c>
      <c r="N194" s="6">
        <f t="shared" si="32"/>
        <v>54.570000000000007</v>
      </c>
    </row>
    <row r="195" spans="1:14" ht="15.75" customHeight="1">
      <c r="A195" s="2">
        <v>45766</v>
      </c>
      <c r="B195" s="3" t="s">
        <v>22</v>
      </c>
      <c r="C195" s="4">
        <v>97</v>
      </c>
      <c r="D195" s="5">
        <v>20.63</v>
      </c>
      <c r="E195" s="4">
        <v>6</v>
      </c>
      <c r="F195" s="4">
        <v>1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6">
        <f>(E195*D195)*15%</f>
        <v>18.567</v>
      </c>
    </row>
    <row r="196" spans="1:14" ht="15.75" customHeight="1">
      <c r="A196" s="2">
        <v>45801</v>
      </c>
      <c r="B196" s="3" t="s">
        <v>22</v>
      </c>
      <c r="C196" s="4">
        <v>85</v>
      </c>
      <c r="D196" s="5">
        <v>19.39</v>
      </c>
      <c r="E196" s="4">
        <v>6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6">
        <f t="shared" ref="N196:N197" si="33">(E196*D196)*50%</f>
        <v>58.17</v>
      </c>
    </row>
    <row r="197" spans="1:14" ht="15.75" customHeight="1">
      <c r="A197" s="2">
        <v>45661</v>
      </c>
      <c r="B197" s="3" t="s">
        <v>22</v>
      </c>
      <c r="C197" s="4">
        <v>124</v>
      </c>
      <c r="D197" s="5">
        <v>20.87</v>
      </c>
      <c r="E197" s="4">
        <v>7</v>
      </c>
      <c r="F197" s="4">
        <v>1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6">
        <f t="shared" si="33"/>
        <v>73.045000000000002</v>
      </c>
    </row>
    <row r="198" spans="1:14" ht="15.75" customHeight="1">
      <c r="A198" s="2">
        <v>45710</v>
      </c>
      <c r="B198" s="3" t="s">
        <v>22</v>
      </c>
      <c r="C198" s="4">
        <v>104</v>
      </c>
      <c r="D198" s="5">
        <v>19.45</v>
      </c>
      <c r="E198" s="4">
        <v>7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5</v>
      </c>
      <c r="L198" s="4">
        <v>0</v>
      </c>
      <c r="M198" s="4">
        <v>1</v>
      </c>
      <c r="N198" s="6">
        <f>(E198*D198)*15%</f>
        <v>20.422499999999999</v>
      </c>
    </row>
    <row r="199" spans="1:14" ht="15.75" customHeight="1">
      <c r="A199" s="2">
        <v>45780</v>
      </c>
      <c r="B199" s="3" t="s">
        <v>22</v>
      </c>
      <c r="C199" s="4">
        <v>109</v>
      </c>
      <c r="D199" s="5">
        <v>20.079999999999998</v>
      </c>
      <c r="E199" s="4">
        <v>7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</v>
      </c>
      <c r="L199" s="4">
        <v>0</v>
      </c>
      <c r="M199" s="4">
        <v>0</v>
      </c>
      <c r="N199" s="6">
        <f t="shared" ref="N199:N200" si="34">(E199*D199)*50%</f>
        <v>70.28</v>
      </c>
    </row>
    <row r="200" spans="1:14" ht="15.75" customHeight="1">
      <c r="A200" s="2">
        <v>45703</v>
      </c>
      <c r="B200" s="3" t="s">
        <v>22</v>
      </c>
      <c r="C200" s="4">
        <v>94</v>
      </c>
      <c r="D200" s="5">
        <v>20.25</v>
      </c>
      <c r="E200" s="4">
        <v>8</v>
      </c>
      <c r="F200" s="4">
        <v>0</v>
      </c>
      <c r="G200" s="4">
        <v>0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6">
        <f t="shared" si="34"/>
        <v>81</v>
      </c>
    </row>
    <row r="201" spans="1:14" ht="15.75" customHeight="1">
      <c r="A201" s="2">
        <v>45731</v>
      </c>
      <c r="B201" s="3" t="s">
        <v>22</v>
      </c>
      <c r="C201" s="4">
        <v>104</v>
      </c>
      <c r="D201" s="5">
        <v>19.39</v>
      </c>
      <c r="E201" s="4">
        <v>8</v>
      </c>
      <c r="F201" s="4">
        <v>1</v>
      </c>
      <c r="G201" s="4">
        <v>0</v>
      </c>
      <c r="H201" s="4">
        <v>2</v>
      </c>
      <c r="I201" s="4">
        <v>0</v>
      </c>
      <c r="J201" s="4">
        <v>0</v>
      </c>
      <c r="K201" s="4">
        <v>1</v>
      </c>
      <c r="L201" s="4">
        <v>0</v>
      </c>
      <c r="M201" s="4">
        <v>0</v>
      </c>
      <c r="N201" s="6">
        <f>(E201*D201)*15%</f>
        <v>23.268000000000001</v>
      </c>
    </row>
    <row r="202" spans="1:14" ht="15.75" customHeight="1">
      <c r="A202" s="2">
        <v>45773</v>
      </c>
      <c r="B202" s="3" t="s">
        <v>22</v>
      </c>
      <c r="C202" s="4">
        <v>94</v>
      </c>
      <c r="D202" s="5">
        <v>18.77</v>
      </c>
      <c r="E202" s="4">
        <v>9</v>
      </c>
      <c r="F202" s="4">
        <v>0</v>
      </c>
      <c r="G202" s="4">
        <v>0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6">
        <f>(E202*D202)*80%</f>
        <v>135.14400000000001</v>
      </c>
    </row>
    <row r="203" spans="1:14" ht="15.75" customHeight="1">
      <c r="A203" s="2">
        <v>45696</v>
      </c>
      <c r="B203" s="3" t="s">
        <v>22</v>
      </c>
      <c r="C203" s="4">
        <v>127</v>
      </c>
      <c r="D203" s="5">
        <v>17.68</v>
      </c>
      <c r="E203" s="4">
        <v>10</v>
      </c>
      <c r="F203" s="4">
        <v>2</v>
      </c>
      <c r="G203" s="4">
        <v>1</v>
      </c>
      <c r="H203" s="4">
        <v>1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6">
        <f>(E203*D203)*15%</f>
        <v>26.52</v>
      </c>
    </row>
    <row r="204" spans="1:14" ht="15.75" customHeight="1">
      <c r="A204" s="2">
        <v>45675</v>
      </c>
      <c r="B204" s="3" t="s">
        <v>22</v>
      </c>
      <c r="C204" s="4">
        <v>161</v>
      </c>
      <c r="D204" s="5">
        <v>18.75</v>
      </c>
      <c r="E204" s="4">
        <v>12</v>
      </c>
      <c r="F204" s="4">
        <v>0</v>
      </c>
      <c r="G204" s="4">
        <v>0</v>
      </c>
      <c r="H204" s="4">
        <v>1</v>
      </c>
      <c r="I204" s="4">
        <v>0</v>
      </c>
      <c r="J204" s="4">
        <v>0</v>
      </c>
      <c r="K204" s="4">
        <v>6</v>
      </c>
      <c r="L204" s="4">
        <v>4</v>
      </c>
      <c r="M204" s="4">
        <v>4</v>
      </c>
      <c r="N204" s="6">
        <f>(E204*D204)*50%</f>
        <v>112.5</v>
      </c>
    </row>
    <row r="205" spans="1:14" ht="15.75" customHeight="1">
      <c r="A205" s="2">
        <v>45689</v>
      </c>
      <c r="B205" s="3" t="s">
        <v>22</v>
      </c>
      <c r="C205" s="4">
        <v>168</v>
      </c>
      <c r="D205" s="5">
        <v>18.690000000000001</v>
      </c>
      <c r="E205" s="4">
        <v>13</v>
      </c>
      <c r="F205" s="4">
        <v>0</v>
      </c>
      <c r="G205" s="4">
        <v>0</v>
      </c>
      <c r="H205" s="4">
        <v>3</v>
      </c>
      <c r="I205" s="4">
        <v>0</v>
      </c>
      <c r="J205" s="4">
        <v>0</v>
      </c>
      <c r="K205" s="4">
        <v>1</v>
      </c>
      <c r="L205" s="4">
        <v>0</v>
      </c>
      <c r="M205" s="4">
        <v>0</v>
      </c>
      <c r="N205" s="6">
        <f>(E205*D205)*30%</f>
        <v>72.891000000000005</v>
      </c>
    </row>
    <row r="206" spans="1:14" ht="15.75" customHeight="1">
      <c r="A206" s="2">
        <v>45787</v>
      </c>
      <c r="B206" s="3" t="s">
        <v>23</v>
      </c>
      <c r="C206" s="4">
        <v>89</v>
      </c>
      <c r="D206" s="5">
        <v>19.43</v>
      </c>
      <c r="E206" s="4">
        <v>3</v>
      </c>
      <c r="F206" s="4">
        <v>0</v>
      </c>
      <c r="G206" s="4">
        <v>0</v>
      </c>
      <c r="H206" s="4">
        <v>1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6">
        <f t="shared" ref="N206:N207" si="35">(E206*D206)*15%</f>
        <v>8.7434999999999992</v>
      </c>
    </row>
    <row r="207" spans="1:14" ht="15.75" customHeight="1">
      <c r="A207" s="2">
        <v>45794</v>
      </c>
      <c r="B207" s="3" t="s">
        <v>23</v>
      </c>
      <c r="C207" s="4">
        <v>75</v>
      </c>
      <c r="D207" s="5">
        <v>20.47</v>
      </c>
      <c r="E207" s="4">
        <v>5</v>
      </c>
      <c r="F207" s="4">
        <v>0</v>
      </c>
      <c r="G207" s="4">
        <v>0</v>
      </c>
      <c r="H207" s="4">
        <v>3</v>
      </c>
      <c r="I207" s="4">
        <v>1</v>
      </c>
      <c r="J207" s="4">
        <v>0</v>
      </c>
      <c r="K207" s="4">
        <v>0</v>
      </c>
      <c r="L207" s="4">
        <v>0</v>
      </c>
      <c r="M207" s="4">
        <v>0</v>
      </c>
      <c r="N207" s="6">
        <f t="shared" si="35"/>
        <v>15.352499999999999</v>
      </c>
    </row>
    <row r="208" spans="1:14" ht="15.75" customHeight="1">
      <c r="A208" s="2">
        <v>45773</v>
      </c>
      <c r="B208" s="3" t="s">
        <v>23</v>
      </c>
      <c r="C208" s="4">
        <v>47</v>
      </c>
      <c r="D208" s="5">
        <v>22.82</v>
      </c>
      <c r="E208" s="4">
        <v>6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1</v>
      </c>
      <c r="N208" s="6">
        <f>(E208*D208)*80%</f>
        <v>109.53600000000002</v>
      </c>
    </row>
    <row r="209" spans="1:14" ht="15.75" customHeight="1">
      <c r="A209" s="2">
        <v>45780</v>
      </c>
      <c r="B209" s="3" t="s">
        <v>23</v>
      </c>
      <c r="C209" s="4">
        <v>101</v>
      </c>
      <c r="D209" s="5">
        <v>21.21</v>
      </c>
      <c r="E209" s="4">
        <v>7</v>
      </c>
      <c r="F209" s="4">
        <v>0</v>
      </c>
      <c r="G209" s="4">
        <v>0</v>
      </c>
      <c r="H209" s="4">
        <v>1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6">
        <f>(E209*D209)*15%</f>
        <v>22.270499999999998</v>
      </c>
    </row>
    <row r="210" spans="1:14" ht="15.75" customHeight="1">
      <c r="A210" s="2">
        <v>45801</v>
      </c>
      <c r="B210" s="3" t="s">
        <v>23</v>
      </c>
      <c r="C210" s="4">
        <v>24</v>
      </c>
      <c r="D210" s="5">
        <v>19.63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1</v>
      </c>
    </row>
    <row r="211" spans="1:14" ht="15.75" customHeight="1">
      <c r="A211" s="2">
        <v>45668</v>
      </c>
      <c r="B211" s="3" t="s">
        <v>24</v>
      </c>
      <c r="C211" s="4">
        <v>31</v>
      </c>
      <c r="D211" s="5">
        <v>24.15</v>
      </c>
      <c r="E211" s="4">
        <v>0</v>
      </c>
      <c r="F211" s="4">
        <v>0</v>
      </c>
      <c r="G211" s="4">
        <v>0</v>
      </c>
      <c r="H211" s="4">
        <v>0</v>
      </c>
      <c r="I211" s="4">
        <v>1</v>
      </c>
      <c r="J211" s="4">
        <v>0</v>
      </c>
      <c r="K211" s="4">
        <v>0</v>
      </c>
      <c r="L211" s="4">
        <v>0</v>
      </c>
      <c r="M211" s="4">
        <v>0</v>
      </c>
    </row>
    <row r="212" spans="1:14" ht="15.75" customHeight="1">
      <c r="A212" s="2">
        <v>45731</v>
      </c>
      <c r="B212" s="3" t="s">
        <v>24</v>
      </c>
      <c r="C212" s="4">
        <v>105</v>
      </c>
      <c r="D212" s="5">
        <v>18.899999999999999</v>
      </c>
      <c r="E212" s="4">
        <v>2</v>
      </c>
      <c r="F212" s="4">
        <v>0</v>
      </c>
      <c r="G212" s="4">
        <v>0</v>
      </c>
      <c r="H212" s="4">
        <v>1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6">
        <f>(E212*D212)*50%</f>
        <v>18.899999999999999</v>
      </c>
    </row>
    <row r="213" spans="1:14" ht="15.75" customHeight="1">
      <c r="A213" s="2">
        <v>45738</v>
      </c>
      <c r="B213" s="3" t="s">
        <v>24</v>
      </c>
      <c r="C213" s="4">
        <v>92</v>
      </c>
      <c r="D213" s="5">
        <v>19.899999999999999</v>
      </c>
      <c r="E213" s="4">
        <v>2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6">
        <f>(E213*D213)*30%</f>
        <v>11.94</v>
      </c>
    </row>
    <row r="214" spans="1:14" ht="15.75" customHeight="1">
      <c r="A214" s="2">
        <v>45724</v>
      </c>
      <c r="B214" s="3" t="s">
        <v>24</v>
      </c>
      <c r="C214" s="4">
        <v>107</v>
      </c>
      <c r="D214" s="5">
        <v>19.059999999999999</v>
      </c>
      <c r="E214" s="4">
        <v>3</v>
      </c>
      <c r="F214" s="4">
        <v>0</v>
      </c>
      <c r="G214" s="4">
        <v>0</v>
      </c>
      <c r="H214" s="4">
        <v>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6">
        <f>(E214*D214)*50%</f>
        <v>28.589999999999996</v>
      </c>
    </row>
    <row r="215" spans="1:14" ht="15.75" customHeight="1">
      <c r="A215" s="2">
        <v>45752</v>
      </c>
      <c r="B215" s="3" t="s">
        <v>24</v>
      </c>
      <c r="C215" s="4">
        <v>111</v>
      </c>
      <c r="D215" s="5">
        <v>21.35</v>
      </c>
      <c r="E215" s="4">
        <v>3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6">
        <f>(E215*D215)*30%</f>
        <v>19.215000000000003</v>
      </c>
    </row>
    <row r="216" spans="1:14" ht="15.75" customHeight="1">
      <c r="A216" s="2">
        <v>45766</v>
      </c>
      <c r="B216" s="3" t="s">
        <v>24</v>
      </c>
      <c r="C216" s="4">
        <v>107</v>
      </c>
      <c r="D216" s="5">
        <v>19.77</v>
      </c>
      <c r="E216" s="4">
        <v>3</v>
      </c>
      <c r="F216" s="4">
        <v>0</v>
      </c>
      <c r="G216" s="4">
        <v>0</v>
      </c>
      <c r="H216" s="4">
        <v>1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6">
        <f>(E216*D216)*50%</f>
        <v>29.655000000000001</v>
      </c>
    </row>
    <row r="217" spans="1:14" ht="15.75" customHeight="1">
      <c r="A217" s="2">
        <v>45780</v>
      </c>
      <c r="B217" s="3" t="s">
        <v>24</v>
      </c>
      <c r="C217" s="4">
        <v>129</v>
      </c>
      <c r="D217" s="5">
        <v>19.670000000000002</v>
      </c>
      <c r="E217" s="4">
        <v>5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6">
        <f>(E217*D217)*30%</f>
        <v>29.505000000000003</v>
      </c>
    </row>
    <row r="218" spans="1:14" ht="15.75" customHeight="1">
      <c r="A218" s="2">
        <v>45682</v>
      </c>
      <c r="B218" s="3" t="s">
        <v>24</v>
      </c>
      <c r="C218" s="4">
        <v>161</v>
      </c>
      <c r="D218" s="5">
        <v>20.18</v>
      </c>
      <c r="E218" s="4">
        <v>6</v>
      </c>
      <c r="F218" s="4">
        <v>1</v>
      </c>
      <c r="G218" s="4">
        <v>0</v>
      </c>
      <c r="H218" s="4">
        <v>2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6">
        <f>(E218*D218)*50%</f>
        <v>60.54</v>
      </c>
    </row>
    <row r="219" spans="1:14" ht="15.75" customHeight="1">
      <c r="A219" s="2">
        <v>45696</v>
      </c>
      <c r="B219" s="3" t="s">
        <v>24</v>
      </c>
      <c r="C219" s="4">
        <v>166</v>
      </c>
      <c r="D219" s="5">
        <v>22.28</v>
      </c>
      <c r="E219" s="4">
        <v>6</v>
      </c>
      <c r="F219" s="4">
        <v>1</v>
      </c>
      <c r="G219" s="4">
        <v>0</v>
      </c>
      <c r="H219" s="4">
        <v>1</v>
      </c>
      <c r="I219" s="4">
        <v>1</v>
      </c>
      <c r="J219" s="4">
        <v>0</v>
      </c>
      <c r="K219" s="4">
        <v>0</v>
      </c>
      <c r="L219" s="4">
        <v>1</v>
      </c>
      <c r="M219" s="4">
        <v>0</v>
      </c>
      <c r="N219" s="6">
        <f>(E219*D219)*15%</f>
        <v>20.052</v>
      </c>
    </row>
    <row r="220" spans="1:14" ht="15.75" customHeight="1">
      <c r="A220" s="2">
        <v>45710</v>
      </c>
      <c r="B220" s="3" t="s">
        <v>24</v>
      </c>
      <c r="C220" s="4">
        <v>125</v>
      </c>
      <c r="D220" s="5">
        <v>22.45</v>
      </c>
      <c r="E220" s="4">
        <v>6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6">
        <f>(E220*D220)*50%</f>
        <v>67.349999999999994</v>
      </c>
    </row>
    <row r="221" spans="1:14" ht="15.75" customHeight="1">
      <c r="A221" s="2">
        <v>45745</v>
      </c>
      <c r="B221" s="3" t="s">
        <v>24</v>
      </c>
      <c r="C221" s="4">
        <v>111</v>
      </c>
      <c r="D221" s="5">
        <v>21.21</v>
      </c>
      <c r="E221" s="4">
        <v>6</v>
      </c>
      <c r="F221" s="4">
        <v>0</v>
      </c>
      <c r="G221" s="4">
        <v>0</v>
      </c>
      <c r="H221" s="4">
        <v>1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6">
        <f>(E221*D221)*15%</f>
        <v>19.088999999999999</v>
      </c>
    </row>
    <row r="222" spans="1:14" ht="15.75" customHeight="1">
      <c r="A222" s="2">
        <v>45703</v>
      </c>
      <c r="B222" s="3" t="s">
        <v>24</v>
      </c>
      <c r="C222" s="4">
        <v>116</v>
      </c>
      <c r="D222" s="5">
        <v>19.22</v>
      </c>
      <c r="E222" s="4">
        <v>7</v>
      </c>
      <c r="F222" s="4">
        <v>0</v>
      </c>
      <c r="G222" s="4">
        <v>0</v>
      </c>
      <c r="H222" s="4">
        <v>1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6">
        <f>(E222*D222)*50%</f>
        <v>67.27</v>
      </c>
    </row>
    <row r="223" spans="1:14" ht="15.75" customHeight="1">
      <c r="A223" s="2">
        <v>45675</v>
      </c>
      <c r="B223" s="3" t="s">
        <v>24</v>
      </c>
      <c r="C223" s="4">
        <v>189</v>
      </c>
      <c r="D223" s="5">
        <v>20.2</v>
      </c>
      <c r="E223" s="4">
        <v>8</v>
      </c>
      <c r="F223" s="4">
        <v>0</v>
      </c>
      <c r="G223" s="4">
        <v>0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6">
        <f t="shared" ref="N223:N224" si="36">(E223*D223)*30%</f>
        <v>48.48</v>
      </c>
    </row>
    <row r="224" spans="1:14" ht="15.75" customHeight="1">
      <c r="A224" s="2">
        <v>45689</v>
      </c>
      <c r="B224" s="3" t="s">
        <v>24</v>
      </c>
      <c r="C224" s="4">
        <v>178</v>
      </c>
      <c r="D224" s="5">
        <v>19.52</v>
      </c>
      <c r="E224" s="4">
        <v>8</v>
      </c>
      <c r="F224" s="4">
        <v>0</v>
      </c>
      <c r="G224" s="4">
        <v>2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6">
        <f t="shared" si="36"/>
        <v>46.847999999999999</v>
      </c>
    </row>
    <row r="225" spans="1:14" ht="15.75" customHeight="1">
      <c r="A225" s="2">
        <v>44193</v>
      </c>
      <c r="B225" s="3" t="s">
        <v>24</v>
      </c>
      <c r="C225" s="4">
        <v>175</v>
      </c>
      <c r="D225" s="5">
        <v>22.93</v>
      </c>
      <c r="E225" s="4">
        <v>9</v>
      </c>
      <c r="F225" s="4">
        <v>0</v>
      </c>
      <c r="G225" s="4">
        <v>0</v>
      </c>
      <c r="H225" s="4">
        <v>4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6">
        <f>(E225*D225)*15%</f>
        <v>30.955500000000001</v>
      </c>
    </row>
    <row r="226" spans="1:14" ht="15.75" customHeight="1">
      <c r="A226" s="2">
        <v>45794</v>
      </c>
      <c r="B226" s="3" t="s">
        <v>24</v>
      </c>
      <c r="C226" s="4">
        <v>98</v>
      </c>
      <c r="D226" s="5">
        <v>20.41</v>
      </c>
      <c r="E226" s="4">
        <v>10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6">
        <f>(E226*D226)*80%</f>
        <v>163.28</v>
      </c>
    </row>
    <row r="227" spans="1:14" ht="15.75" customHeight="1">
      <c r="A227" s="2">
        <v>45759</v>
      </c>
      <c r="B227" s="3" t="s">
        <v>24</v>
      </c>
      <c r="C227" s="4">
        <v>107</v>
      </c>
      <c r="D227" s="5">
        <v>20</v>
      </c>
      <c r="E227" s="4">
        <v>12</v>
      </c>
      <c r="F227" s="4">
        <v>1</v>
      </c>
      <c r="G227" s="4">
        <v>2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6">
        <f>(E227*D227)*30%</f>
        <v>72</v>
      </c>
    </row>
    <row r="228" spans="1:14" ht="15.75" customHeight="1">
      <c r="A228" s="2">
        <v>45661</v>
      </c>
      <c r="B228" s="3" t="s">
        <v>24</v>
      </c>
      <c r="C228" s="4">
        <v>152</v>
      </c>
      <c r="D228" s="5">
        <v>22.37</v>
      </c>
      <c r="E228" s="4">
        <v>14</v>
      </c>
      <c r="F228" s="4">
        <v>0</v>
      </c>
      <c r="G228" s="4">
        <v>1</v>
      </c>
      <c r="H228" s="4">
        <v>4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6">
        <f>(E228*D228)*15%</f>
        <v>46.976999999999997</v>
      </c>
    </row>
    <row r="229" spans="1:14" ht="15.75" customHeight="1">
      <c r="A229" s="2">
        <v>45717</v>
      </c>
      <c r="B229" s="3" t="s">
        <v>24</v>
      </c>
      <c r="C229" s="4">
        <v>127</v>
      </c>
      <c r="D229" s="5">
        <v>20.6</v>
      </c>
      <c r="E229" s="4">
        <v>14</v>
      </c>
      <c r="F229" s="4">
        <v>0</v>
      </c>
      <c r="G229" s="4">
        <v>0</v>
      </c>
      <c r="H229" s="4">
        <v>1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6">
        <f>(E229*D229)*30%</f>
        <v>86.52000000000001</v>
      </c>
    </row>
    <row r="230" spans="1:14" ht="15.75" customHeight="1">
      <c r="A230" s="2">
        <v>45773</v>
      </c>
      <c r="B230" s="3" t="s">
        <v>24</v>
      </c>
      <c r="C230" s="4">
        <v>118</v>
      </c>
      <c r="D230" s="5">
        <v>20.43</v>
      </c>
      <c r="E230" s="4">
        <v>15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6">
        <f>(E230*D230)*15%</f>
        <v>45.967499999999994</v>
      </c>
    </row>
    <row r="231" spans="1:14" ht="15.75" customHeight="1">
      <c r="A231" s="2">
        <v>45808</v>
      </c>
      <c r="B231" s="3" t="s">
        <v>24</v>
      </c>
      <c r="C231" s="4">
        <v>115</v>
      </c>
      <c r="D231" s="5">
        <v>19.22</v>
      </c>
      <c r="E231" s="4">
        <v>20</v>
      </c>
      <c r="F231" s="4">
        <v>0</v>
      </c>
      <c r="G231" s="4">
        <v>0</v>
      </c>
      <c r="H231" s="4">
        <v>1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6">
        <f>(E231*D231)*50%</f>
        <v>192.2</v>
      </c>
    </row>
    <row r="232" spans="1:14" ht="15.75" customHeight="1">
      <c r="A232" s="2">
        <v>45801</v>
      </c>
      <c r="B232" s="3" t="s">
        <v>24</v>
      </c>
      <c r="C232" s="4">
        <v>112</v>
      </c>
      <c r="D232" s="5">
        <v>19.38</v>
      </c>
      <c r="E232" s="4">
        <v>27</v>
      </c>
      <c r="F232" s="4">
        <v>0</v>
      </c>
      <c r="G232" s="4">
        <v>0</v>
      </c>
      <c r="H232" s="4">
        <v>0</v>
      </c>
      <c r="I232" s="4">
        <v>0</v>
      </c>
      <c r="J232" s="4">
        <v>1</v>
      </c>
      <c r="K232" s="4">
        <v>0</v>
      </c>
      <c r="L232" s="4">
        <v>0</v>
      </c>
      <c r="M232" s="4">
        <v>0</v>
      </c>
      <c r="N232" s="6">
        <f>(E232*D232)*15%</f>
        <v>78.48899999999999</v>
      </c>
    </row>
    <row r="233" spans="1:14" ht="15.75" customHeight="1">
      <c r="A233" s="2">
        <v>45787</v>
      </c>
      <c r="B233" s="3" t="s">
        <v>24</v>
      </c>
      <c r="C233" s="4">
        <v>125</v>
      </c>
      <c r="D233" s="5">
        <v>19.399999999999999</v>
      </c>
      <c r="E233" s="4">
        <v>30</v>
      </c>
      <c r="F233" s="4">
        <v>0</v>
      </c>
      <c r="G233" s="4">
        <v>0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6">
        <f>(E233*D233)*80%</f>
        <v>465.6</v>
      </c>
    </row>
    <row r="234" spans="1:14" ht="15.75" customHeight="1">
      <c r="A234" s="2">
        <v>45668</v>
      </c>
      <c r="B234" s="3" t="s">
        <v>25</v>
      </c>
      <c r="C234" s="4">
        <v>37</v>
      </c>
      <c r="D234" s="5">
        <v>17</v>
      </c>
      <c r="E234" s="4">
        <v>1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6">
        <f t="shared" ref="N234:N235" si="37">(E234*D234)*50%</f>
        <v>8.5</v>
      </c>
    </row>
    <row r="235" spans="1:14" ht="15.75" customHeight="1">
      <c r="A235" s="2">
        <v>45696</v>
      </c>
      <c r="B235" s="3" t="s">
        <v>25</v>
      </c>
      <c r="C235" s="4">
        <v>85</v>
      </c>
      <c r="D235" s="5">
        <v>18.600000000000001</v>
      </c>
      <c r="E235" s="4">
        <v>1</v>
      </c>
      <c r="F235" s="4">
        <v>0</v>
      </c>
      <c r="G235" s="4">
        <v>1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6">
        <f t="shared" si="37"/>
        <v>9.3000000000000007</v>
      </c>
    </row>
    <row r="236" spans="1:14" ht="15.75" customHeight="1">
      <c r="A236" s="2">
        <v>45703</v>
      </c>
      <c r="B236" s="3" t="s">
        <v>25</v>
      </c>
      <c r="C236" s="4">
        <v>49</v>
      </c>
      <c r="D236" s="5">
        <v>19.170000000000002</v>
      </c>
      <c r="E236" s="4">
        <v>1</v>
      </c>
      <c r="F236" s="4">
        <v>1</v>
      </c>
      <c r="G236" s="4">
        <v>0</v>
      </c>
      <c r="H236" s="4">
        <v>3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6">
        <f>(E236*D236)*30%</f>
        <v>5.7510000000000003</v>
      </c>
    </row>
    <row r="237" spans="1:14" ht="15.75" customHeight="1">
      <c r="A237" s="2">
        <v>45717</v>
      </c>
      <c r="B237" s="3" t="s">
        <v>25</v>
      </c>
      <c r="C237" s="4">
        <v>55</v>
      </c>
      <c r="D237" s="5">
        <v>16.61</v>
      </c>
      <c r="E237" s="4">
        <v>1</v>
      </c>
      <c r="F237" s="4">
        <v>0</v>
      </c>
      <c r="G237" s="4">
        <v>0</v>
      </c>
      <c r="H237" s="4">
        <v>0</v>
      </c>
      <c r="I237" s="4">
        <v>1</v>
      </c>
      <c r="J237" s="4">
        <v>0</v>
      </c>
      <c r="K237" s="4">
        <v>0</v>
      </c>
      <c r="L237" s="4">
        <v>0</v>
      </c>
      <c r="M237" s="4">
        <v>0</v>
      </c>
      <c r="N237" s="6">
        <f>(E237*D237)*15%</f>
        <v>2.4914999999999998</v>
      </c>
    </row>
    <row r="238" spans="1:14" ht="15.75" customHeight="1">
      <c r="A238" s="2">
        <v>45731</v>
      </c>
      <c r="B238" s="3" t="s">
        <v>25</v>
      </c>
      <c r="C238" s="4">
        <v>57</v>
      </c>
      <c r="D238" s="5">
        <v>18.05</v>
      </c>
      <c r="E238" s="4">
        <v>1</v>
      </c>
      <c r="F238" s="4">
        <v>1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6">
        <f t="shared" ref="N238:N239" si="38">(E238*D238)*30%</f>
        <v>5.415</v>
      </c>
    </row>
    <row r="239" spans="1:14" ht="15.75" customHeight="1">
      <c r="A239" s="2">
        <v>45738</v>
      </c>
      <c r="B239" s="3" t="s">
        <v>25</v>
      </c>
      <c r="C239" s="4">
        <v>42</v>
      </c>
      <c r="D239" s="5">
        <v>14.61</v>
      </c>
      <c r="E239" s="4">
        <v>1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6">
        <f t="shared" si="38"/>
        <v>4.383</v>
      </c>
    </row>
    <row r="240" spans="1:14" ht="15.75" customHeight="1">
      <c r="A240" s="2">
        <v>45787</v>
      </c>
      <c r="B240" s="3" t="s">
        <v>25</v>
      </c>
      <c r="C240" s="4">
        <v>51</v>
      </c>
      <c r="D240" s="5">
        <v>18.440000000000001</v>
      </c>
      <c r="E240" s="4">
        <v>1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6">
        <f>(E240*D240)*15%</f>
        <v>2.766</v>
      </c>
    </row>
    <row r="241" spans="1:14" ht="15.75" customHeight="1">
      <c r="A241" s="2">
        <v>45794</v>
      </c>
      <c r="B241" s="3" t="s">
        <v>25</v>
      </c>
      <c r="C241" s="4">
        <v>42</v>
      </c>
      <c r="D241" s="5">
        <v>16.739999999999998</v>
      </c>
      <c r="E241" s="4">
        <v>1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6">
        <f>(E241*D241)*50%</f>
        <v>8.3699999999999992</v>
      </c>
    </row>
    <row r="242" spans="1:14" ht="15.75" customHeight="1">
      <c r="A242" s="2">
        <v>45801</v>
      </c>
      <c r="B242" s="3" t="s">
        <v>25</v>
      </c>
      <c r="C242" s="4">
        <v>32</v>
      </c>
      <c r="D242" s="5">
        <v>16.88</v>
      </c>
      <c r="E242" s="4">
        <v>1</v>
      </c>
      <c r="F242" s="4">
        <v>0</v>
      </c>
      <c r="G242" s="4">
        <v>0</v>
      </c>
      <c r="H242" s="4">
        <v>1</v>
      </c>
      <c r="I242" s="4">
        <v>0</v>
      </c>
      <c r="J242" s="4">
        <v>0</v>
      </c>
      <c r="K242" s="4">
        <v>0</v>
      </c>
      <c r="L242" s="4">
        <v>1</v>
      </c>
      <c r="M242" s="4">
        <v>0</v>
      </c>
      <c r="N242" s="6">
        <f t="shared" ref="N242:N243" si="39">(E242*D242)*15%</f>
        <v>2.5319999999999996</v>
      </c>
    </row>
    <row r="243" spans="1:14" ht="15.75" customHeight="1">
      <c r="A243" s="2">
        <v>45661</v>
      </c>
      <c r="B243" s="3" t="s">
        <v>25</v>
      </c>
      <c r="C243" s="4">
        <v>52</v>
      </c>
      <c r="D243" s="5">
        <v>15.83</v>
      </c>
      <c r="E243" s="4">
        <v>2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6">
        <f t="shared" si="39"/>
        <v>4.7489999999999997</v>
      </c>
    </row>
    <row r="244" spans="1:14" ht="15.75" customHeight="1">
      <c r="A244" s="2">
        <v>45675</v>
      </c>
      <c r="B244" s="3" t="s">
        <v>25</v>
      </c>
      <c r="C244" s="4">
        <v>93</v>
      </c>
      <c r="D244" s="5">
        <v>17.600000000000001</v>
      </c>
      <c r="E244" s="4">
        <v>2</v>
      </c>
      <c r="F244" s="4">
        <v>0</v>
      </c>
      <c r="G244" s="4">
        <v>0</v>
      </c>
      <c r="H244" s="4">
        <v>2</v>
      </c>
      <c r="I244" s="4">
        <v>0</v>
      </c>
      <c r="J244" s="4">
        <v>0</v>
      </c>
      <c r="K244" s="4">
        <v>1</v>
      </c>
      <c r="L244" s="4">
        <v>0</v>
      </c>
      <c r="M244" s="4">
        <v>0</v>
      </c>
      <c r="N244" s="6">
        <f>(E244*D244)*50%</f>
        <v>17.600000000000001</v>
      </c>
    </row>
    <row r="245" spans="1:14" ht="15.75" customHeight="1">
      <c r="A245" s="2">
        <v>45752</v>
      </c>
      <c r="B245" s="3" t="s">
        <v>25</v>
      </c>
      <c r="C245" s="4">
        <v>44</v>
      </c>
      <c r="D245" s="5">
        <v>19.41</v>
      </c>
      <c r="E245" s="4">
        <v>2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6">
        <f>(E245*D245)*15%</f>
        <v>5.8229999999999995</v>
      </c>
    </row>
    <row r="246" spans="1:14" ht="15.75" customHeight="1">
      <c r="A246" s="2">
        <v>45710</v>
      </c>
      <c r="B246" s="3" t="s">
        <v>25</v>
      </c>
      <c r="C246" s="4">
        <v>54</v>
      </c>
      <c r="D246" s="5">
        <v>17.2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</row>
    <row r="247" spans="1:14" ht="15.75" customHeight="1">
      <c r="A247" s="2">
        <v>45766</v>
      </c>
      <c r="B247" s="3" t="s">
        <v>25</v>
      </c>
      <c r="C247" s="4">
        <v>53</v>
      </c>
      <c r="D247" s="5">
        <v>16.62</v>
      </c>
      <c r="E247" s="4">
        <v>2</v>
      </c>
      <c r="F247" s="4">
        <v>0</v>
      </c>
      <c r="G247" s="4">
        <v>0</v>
      </c>
      <c r="H247" s="4">
        <v>0</v>
      </c>
      <c r="I247" s="4">
        <v>1</v>
      </c>
      <c r="J247" s="4">
        <v>1</v>
      </c>
      <c r="K247" s="4">
        <v>0</v>
      </c>
      <c r="L247" s="4">
        <v>0</v>
      </c>
      <c r="M247" s="4">
        <v>0</v>
      </c>
      <c r="N247" s="6">
        <f>(E247*D247)*50%</f>
        <v>16.62</v>
      </c>
    </row>
    <row r="248" spans="1:14" ht="15.75" customHeight="1">
      <c r="A248" s="2">
        <v>45773</v>
      </c>
      <c r="B248" s="3" t="s">
        <v>25</v>
      </c>
      <c r="C248" s="4">
        <v>42</v>
      </c>
      <c r="D248" s="5">
        <v>18.059999999999999</v>
      </c>
      <c r="E248" s="4">
        <v>2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6">
        <f>(E248*D248)*30%</f>
        <v>10.835999999999999</v>
      </c>
    </row>
    <row r="249" spans="1:14" ht="15.75" customHeight="1">
      <c r="A249" s="2">
        <v>45724</v>
      </c>
      <c r="B249" s="3" t="s">
        <v>25</v>
      </c>
      <c r="C249" s="4">
        <v>51</v>
      </c>
      <c r="D249" s="5">
        <v>18.03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4" ht="15.75" customHeight="1">
      <c r="A250" s="2">
        <v>44193</v>
      </c>
      <c r="B250" s="3" t="s">
        <v>25</v>
      </c>
      <c r="C250" s="4">
        <v>83</v>
      </c>
      <c r="D250" s="5">
        <v>20.61</v>
      </c>
      <c r="E250" s="4">
        <v>3</v>
      </c>
      <c r="F250" s="4">
        <v>0</v>
      </c>
      <c r="G250" s="4">
        <v>0</v>
      </c>
      <c r="H250" s="4">
        <v>3</v>
      </c>
      <c r="I250" s="4">
        <v>1</v>
      </c>
      <c r="J250" s="4">
        <v>0</v>
      </c>
      <c r="K250" s="4">
        <v>0</v>
      </c>
      <c r="L250" s="4">
        <v>0</v>
      </c>
      <c r="M250" s="4">
        <v>0</v>
      </c>
      <c r="N250" s="6">
        <f>(E250*D250)*50%</f>
        <v>30.914999999999999</v>
      </c>
    </row>
    <row r="251" spans="1:14" ht="15.75" customHeight="1">
      <c r="A251" s="2">
        <v>45682</v>
      </c>
      <c r="B251" s="3" t="s">
        <v>25</v>
      </c>
      <c r="C251" s="4">
        <v>90</v>
      </c>
      <c r="D251" s="5">
        <v>17.91</v>
      </c>
      <c r="E251" s="4">
        <v>3</v>
      </c>
      <c r="F251" s="4">
        <v>0</v>
      </c>
      <c r="G251" s="4">
        <v>0</v>
      </c>
      <c r="H251" s="4">
        <v>0</v>
      </c>
      <c r="I251" s="4">
        <v>1</v>
      </c>
      <c r="J251" s="4">
        <v>0</v>
      </c>
      <c r="K251" s="4">
        <v>0</v>
      </c>
      <c r="L251" s="4">
        <v>0</v>
      </c>
      <c r="M251" s="4">
        <v>0</v>
      </c>
      <c r="N251" s="6">
        <f>(E251*D251)*15%</f>
        <v>8.0594999999999999</v>
      </c>
    </row>
    <row r="252" spans="1:14" ht="15.75" customHeight="1">
      <c r="A252" s="2">
        <v>45745</v>
      </c>
      <c r="B252" s="3" t="s">
        <v>25</v>
      </c>
      <c r="C252" s="4">
        <v>56</v>
      </c>
      <c r="D252" s="5">
        <v>20.47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</row>
    <row r="253" spans="1:14" ht="15.75" customHeight="1">
      <c r="A253" s="2">
        <v>45780</v>
      </c>
      <c r="B253" s="3" t="s">
        <v>25</v>
      </c>
      <c r="C253" s="4">
        <v>68</v>
      </c>
      <c r="D253" s="5">
        <v>17.02</v>
      </c>
      <c r="E253" s="4">
        <v>3</v>
      </c>
      <c r="F253" s="4">
        <v>0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6">
        <f>(E253*D253)*15%</f>
        <v>7.6589999999999998</v>
      </c>
    </row>
    <row r="254" spans="1:14" ht="15.75" customHeight="1">
      <c r="A254" s="2">
        <v>45759</v>
      </c>
      <c r="B254" s="3" t="s">
        <v>25</v>
      </c>
      <c r="C254" s="4">
        <v>39</v>
      </c>
      <c r="D254" s="5">
        <v>16.440000000000001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</row>
    <row r="255" spans="1:14" ht="15.75" customHeight="1">
      <c r="A255" s="2">
        <v>45689</v>
      </c>
      <c r="B255" s="3" t="s">
        <v>25</v>
      </c>
      <c r="C255" s="4">
        <v>92</v>
      </c>
      <c r="D255" s="5">
        <v>16.989999999999998</v>
      </c>
      <c r="E255" s="4">
        <v>7</v>
      </c>
      <c r="F255" s="4">
        <v>0</v>
      </c>
      <c r="G255" s="4">
        <v>0</v>
      </c>
      <c r="H255" s="4">
        <v>1</v>
      </c>
      <c r="I255" s="4">
        <v>0</v>
      </c>
      <c r="J255" s="4">
        <v>0</v>
      </c>
      <c r="K255" s="4">
        <v>1</v>
      </c>
      <c r="L255" s="4">
        <v>0</v>
      </c>
      <c r="M255" s="4">
        <v>0</v>
      </c>
      <c r="N255" s="6">
        <f>(E255*D255)*30%</f>
        <v>35.678999999999995</v>
      </c>
    </row>
    <row r="256" spans="1:14" ht="15.75" customHeight="1">
      <c r="A256" s="2">
        <v>45696</v>
      </c>
      <c r="B256" s="3" t="s">
        <v>26</v>
      </c>
      <c r="C256" s="4">
        <v>123</v>
      </c>
      <c r="D256" s="5">
        <v>17.5</v>
      </c>
      <c r="E256" s="4">
        <v>1</v>
      </c>
      <c r="F256" s="4">
        <v>0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6">
        <f>(E256*D256)*15%</f>
        <v>2.625</v>
      </c>
    </row>
    <row r="257" spans="1:14" ht="15.75" customHeight="1">
      <c r="A257" s="2">
        <v>45661</v>
      </c>
      <c r="B257" s="3" t="s">
        <v>26</v>
      </c>
      <c r="C257" s="4">
        <v>104</v>
      </c>
      <c r="D257" s="5">
        <v>20.149999999999999</v>
      </c>
      <c r="E257" s="4">
        <v>0</v>
      </c>
      <c r="F257" s="4">
        <v>0</v>
      </c>
      <c r="G257" s="4">
        <v>0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4" ht="15.75" customHeight="1">
      <c r="A258" s="2">
        <v>45668</v>
      </c>
      <c r="B258" s="3" t="s">
        <v>26</v>
      </c>
      <c r="C258" s="4">
        <v>65</v>
      </c>
      <c r="D258" s="5">
        <v>21.12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</row>
    <row r="259" spans="1:14" ht="15.75" customHeight="1">
      <c r="A259" s="2">
        <v>45738</v>
      </c>
      <c r="B259" s="3" t="s">
        <v>26</v>
      </c>
      <c r="C259" s="4">
        <v>114</v>
      </c>
      <c r="D259" s="5">
        <v>18.100000000000001</v>
      </c>
      <c r="E259" s="4">
        <v>1</v>
      </c>
      <c r="F259" s="4">
        <v>0</v>
      </c>
      <c r="G259" s="4">
        <v>0</v>
      </c>
      <c r="H259" s="4">
        <v>1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6">
        <f t="shared" ref="N259:N260" si="40">(E259*D259)*50%</f>
        <v>9.0500000000000007</v>
      </c>
    </row>
    <row r="260" spans="1:14" ht="15.75" customHeight="1">
      <c r="A260" s="2">
        <v>45766</v>
      </c>
      <c r="B260" s="3" t="s">
        <v>26</v>
      </c>
      <c r="C260" s="4">
        <v>98</v>
      </c>
      <c r="D260" s="5">
        <v>16.71</v>
      </c>
      <c r="E260" s="4">
        <v>1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6">
        <f t="shared" si="40"/>
        <v>8.3550000000000004</v>
      </c>
    </row>
    <row r="261" spans="1:14" ht="15.75" customHeight="1">
      <c r="A261" s="2">
        <v>45773</v>
      </c>
      <c r="B261" s="3" t="s">
        <v>26</v>
      </c>
      <c r="C261" s="4">
        <v>123</v>
      </c>
      <c r="D261" s="5">
        <v>16.16</v>
      </c>
      <c r="E261" s="4">
        <v>1</v>
      </c>
      <c r="F261" s="4">
        <v>0</v>
      </c>
      <c r="G261" s="4">
        <v>1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6">
        <f t="shared" ref="N261:N262" si="41">(E261*D261)*15%</f>
        <v>2.4239999999999999</v>
      </c>
    </row>
    <row r="262" spans="1:14" ht="15.75" customHeight="1">
      <c r="A262" s="2">
        <v>45780</v>
      </c>
      <c r="B262" s="3" t="s">
        <v>26</v>
      </c>
      <c r="C262" s="4">
        <v>183</v>
      </c>
      <c r="D262" s="5">
        <v>16.579999999999998</v>
      </c>
      <c r="E262" s="4">
        <v>1</v>
      </c>
      <c r="F262" s="4">
        <v>0</v>
      </c>
      <c r="G262" s="4">
        <v>0</v>
      </c>
      <c r="H262" s="4">
        <v>0</v>
      </c>
      <c r="I262" s="4">
        <v>1</v>
      </c>
      <c r="J262" s="4">
        <v>0</v>
      </c>
      <c r="K262" s="4">
        <v>0</v>
      </c>
      <c r="L262" s="4">
        <v>0</v>
      </c>
      <c r="M262" s="4">
        <v>0</v>
      </c>
      <c r="N262" s="6">
        <f t="shared" si="41"/>
        <v>2.4869999999999997</v>
      </c>
    </row>
    <row r="263" spans="1:14" ht="15.75" customHeight="1">
      <c r="A263" s="2">
        <v>44193</v>
      </c>
      <c r="B263" s="3" t="s">
        <v>26</v>
      </c>
      <c r="C263" s="4">
        <v>106</v>
      </c>
      <c r="D263" s="5">
        <v>18.05</v>
      </c>
      <c r="E263" s="4">
        <v>2</v>
      </c>
      <c r="F263" s="4">
        <v>1</v>
      </c>
      <c r="G263" s="4">
        <v>0</v>
      </c>
      <c r="H263" s="4">
        <v>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6">
        <f>(E263*D263)*50%</f>
        <v>18.05</v>
      </c>
    </row>
    <row r="264" spans="1:14" ht="15.75" customHeight="1">
      <c r="A264" s="2">
        <v>45675</v>
      </c>
      <c r="B264" s="3" t="s">
        <v>26</v>
      </c>
      <c r="C264" s="4">
        <v>220</v>
      </c>
      <c r="D264" s="5">
        <v>17.23</v>
      </c>
      <c r="E264" s="4">
        <v>2</v>
      </c>
      <c r="F264" s="4">
        <v>0</v>
      </c>
      <c r="G264" s="4">
        <v>0</v>
      </c>
      <c r="H264" s="4">
        <v>1</v>
      </c>
      <c r="I264" s="4">
        <v>1</v>
      </c>
      <c r="J264" s="4">
        <v>0</v>
      </c>
      <c r="K264" s="4">
        <v>0</v>
      </c>
      <c r="L264" s="4">
        <v>0</v>
      </c>
      <c r="M264" s="4">
        <v>1</v>
      </c>
      <c r="N264" s="6">
        <f>(E264*D264)*30%</f>
        <v>10.337999999999999</v>
      </c>
    </row>
    <row r="265" spans="1:14" ht="15.75" customHeight="1">
      <c r="A265" s="2">
        <v>45759</v>
      </c>
      <c r="B265" s="3" t="s">
        <v>26</v>
      </c>
      <c r="C265" s="4">
        <v>110</v>
      </c>
      <c r="D265" s="5">
        <v>16.420000000000002</v>
      </c>
      <c r="E265" s="4">
        <v>2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6">
        <f>(E265*D265)*15%</f>
        <v>4.9260000000000002</v>
      </c>
    </row>
    <row r="266" spans="1:14" ht="15.75" customHeight="1">
      <c r="A266" s="2">
        <v>45787</v>
      </c>
      <c r="B266" s="3" t="s">
        <v>26</v>
      </c>
      <c r="C266" s="4">
        <v>209</v>
      </c>
      <c r="D266" s="5">
        <v>17.07</v>
      </c>
      <c r="E266" s="4">
        <v>2</v>
      </c>
      <c r="F266" s="4">
        <v>0</v>
      </c>
      <c r="G266" s="4">
        <v>0</v>
      </c>
      <c r="H266" s="4">
        <v>1</v>
      </c>
      <c r="I266" s="4">
        <v>1</v>
      </c>
      <c r="J266" s="4">
        <v>0</v>
      </c>
      <c r="K266" s="4">
        <v>0</v>
      </c>
      <c r="L266" s="4">
        <v>0</v>
      </c>
      <c r="M266" s="4">
        <v>0</v>
      </c>
      <c r="N266" s="6">
        <f t="shared" ref="N266:N267" si="42">(E266*D266)*50%</f>
        <v>17.07</v>
      </c>
    </row>
    <row r="267" spans="1:14" ht="15.75" customHeight="1">
      <c r="A267" s="2">
        <v>45801</v>
      </c>
      <c r="B267" s="3" t="s">
        <v>26</v>
      </c>
      <c r="C267" s="4">
        <v>169</v>
      </c>
      <c r="D267" s="5">
        <v>16.350000000000001</v>
      </c>
      <c r="E267" s="4">
        <v>2</v>
      </c>
      <c r="F267" s="4">
        <v>0</v>
      </c>
      <c r="G267" s="4">
        <v>0</v>
      </c>
      <c r="H267" s="4">
        <v>0</v>
      </c>
      <c r="I267" s="4">
        <v>1</v>
      </c>
      <c r="J267" s="4">
        <v>0</v>
      </c>
      <c r="K267" s="4">
        <v>0</v>
      </c>
      <c r="L267" s="4">
        <v>0</v>
      </c>
      <c r="M267" s="4">
        <v>0</v>
      </c>
      <c r="N267" s="6">
        <f t="shared" si="42"/>
        <v>16.350000000000001</v>
      </c>
    </row>
    <row r="268" spans="1:14" ht="15.75" customHeight="1">
      <c r="A268" s="2">
        <v>45731</v>
      </c>
      <c r="B268" s="3" t="s">
        <v>26</v>
      </c>
      <c r="C268" s="4">
        <v>128</v>
      </c>
      <c r="D268" s="5">
        <v>17.72</v>
      </c>
      <c r="E268" s="4">
        <v>0</v>
      </c>
      <c r="F268" s="4">
        <v>0</v>
      </c>
      <c r="G268" s="4">
        <v>0</v>
      </c>
      <c r="H268" s="4">
        <v>0</v>
      </c>
      <c r="I268" s="4">
        <v>1</v>
      </c>
      <c r="J268" s="4">
        <v>0</v>
      </c>
      <c r="K268" s="4">
        <v>0</v>
      </c>
      <c r="L268" s="4">
        <v>0</v>
      </c>
      <c r="M268" s="4">
        <v>0</v>
      </c>
    </row>
    <row r="269" spans="1:14" ht="15.75" customHeight="1">
      <c r="A269" s="2">
        <v>45682</v>
      </c>
      <c r="B269" s="3" t="s">
        <v>26</v>
      </c>
      <c r="C269" s="4">
        <v>190</v>
      </c>
      <c r="D269" s="5">
        <v>16.55</v>
      </c>
      <c r="E269" s="4">
        <v>3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1</v>
      </c>
      <c r="N269" s="6">
        <f>(E269*D269)*30%</f>
        <v>14.895000000000001</v>
      </c>
    </row>
    <row r="270" spans="1:14" ht="15.75" customHeight="1">
      <c r="A270" s="2">
        <v>45689</v>
      </c>
      <c r="B270" s="3" t="s">
        <v>26</v>
      </c>
      <c r="C270" s="4">
        <v>170</v>
      </c>
      <c r="D270" s="5">
        <v>16.91</v>
      </c>
      <c r="E270" s="4">
        <v>3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6">
        <f>(E270*D270)*15%</f>
        <v>7.6095000000000006</v>
      </c>
    </row>
    <row r="271" spans="1:14" ht="15.75" customHeight="1">
      <c r="A271" s="2">
        <v>45752</v>
      </c>
      <c r="B271" s="3" t="s">
        <v>26</v>
      </c>
      <c r="C271" s="4">
        <v>103</v>
      </c>
      <c r="D271" s="5">
        <v>18.04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</row>
    <row r="272" spans="1:14" ht="15.75" customHeight="1">
      <c r="A272" s="2">
        <v>45703</v>
      </c>
      <c r="B272" s="3" t="s">
        <v>26</v>
      </c>
      <c r="C272" s="4">
        <v>138</v>
      </c>
      <c r="D272" s="5">
        <v>16.93</v>
      </c>
      <c r="E272" s="4">
        <v>4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6">
        <f>(E272*D272)*30%</f>
        <v>20.315999999999999</v>
      </c>
    </row>
    <row r="273" spans="1:14" ht="15.75" customHeight="1">
      <c r="A273" s="2">
        <v>45710</v>
      </c>
      <c r="B273" s="3" t="s">
        <v>26</v>
      </c>
      <c r="C273" s="4">
        <v>190</v>
      </c>
      <c r="D273" s="5">
        <v>16.07</v>
      </c>
      <c r="E273" s="4">
        <v>4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6">
        <f>(E273*D273)*15%</f>
        <v>9.6419999999999995</v>
      </c>
    </row>
    <row r="274" spans="1:14" ht="15.75" customHeight="1">
      <c r="A274" s="2">
        <v>45717</v>
      </c>
      <c r="B274" s="3" t="s">
        <v>26</v>
      </c>
      <c r="C274" s="4">
        <v>242</v>
      </c>
      <c r="D274" s="5">
        <v>16.690000000000001</v>
      </c>
      <c r="E274" s="4">
        <v>5</v>
      </c>
      <c r="F274" s="4">
        <v>1</v>
      </c>
      <c r="G274" s="4">
        <v>0</v>
      </c>
      <c r="H274" s="4">
        <v>1</v>
      </c>
      <c r="I274" s="4">
        <v>2</v>
      </c>
      <c r="J274" s="4">
        <v>0</v>
      </c>
      <c r="K274" s="4">
        <v>0</v>
      </c>
      <c r="L274" s="4">
        <v>0</v>
      </c>
      <c r="M274" s="4">
        <v>0</v>
      </c>
      <c r="N274" s="6">
        <f>(E274*D274)*50%</f>
        <v>41.725000000000001</v>
      </c>
    </row>
    <row r="275" spans="1:14" ht="15.75" customHeight="1">
      <c r="A275" s="2">
        <v>45745</v>
      </c>
      <c r="B275" s="3" t="s">
        <v>26</v>
      </c>
      <c r="C275" s="4">
        <v>121</v>
      </c>
      <c r="D275" s="5">
        <v>17.55</v>
      </c>
      <c r="E275" s="4">
        <v>5</v>
      </c>
      <c r="F275" s="4">
        <v>0</v>
      </c>
      <c r="G275" s="4">
        <v>0</v>
      </c>
      <c r="H275" s="4">
        <v>3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6">
        <f>(E275*D275)*30%</f>
        <v>26.324999999999999</v>
      </c>
    </row>
    <row r="276" spans="1:14" ht="15.75" customHeight="1">
      <c r="A276" s="2">
        <v>45794</v>
      </c>
      <c r="B276" s="3" t="s">
        <v>26</v>
      </c>
      <c r="C276" s="4">
        <v>160</v>
      </c>
      <c r="D276" s="5">
        <v>17.25</v>
      </c>
      <c r="E276" s="4">
        <v>5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6">
        <f>(E276*D276)*50%</f>
        <v>43.125</v>
      </c>
    </row>
    <row r="277" spans="1:14" ht="15.75" customHeight="1">
      <c r="A277" s="2">
        <v>45724</v>
      </c>
      <c r="B277" s="3" t="s">
        <v>26</v>
      </c>
      <c r="C277" s="4">
        <v>184</v>
      </c>
      <c r="D277" s="5">
        <v>16.55</v>
      </c>
      <c r="E277" s="4">
        <v>6</v>
      </c>
      <c r="F277" s="4">
        <v>1</v>
      </c>
      <c r="G277" s="4">
        <v>0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6">
        <f>(E277*D277)*30%</f>
        <v>29.790000000000003</v>
      </c>
    </row>
    <row r="278" spans="1:14" ht="15.75" customHeight="1">
      <c r="A278" s="2">
        <v>45661</v>
      </c>
      <c r="B278" s="3" t="s">
        <v>27</v>
      </c>
      <c r="C278" s="4">
        <v>77</v>
      </c>
      <c r="D278" s="5">
        <v>17.75</v>
      </c>
      <c r="E278" s="4">
        <v>1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6">
        <f t="shared" ref="N278:N279" si="43">(E278*D278)*50%</f>
        <v>8.875</v>
      </c>
    </row>
    <row r="279" spans="1:14" ht="15.75" customHeight="1">
      <c r="A279" s="2">
        <v>45717</v>
      </c>
      <c r="B279" s="3" t="s">
        <v>27</v>
      </c>
      <c r="C279" s="4">
        <v>116</v>
      </c>
      <c r="D279" s="5">
        <v>17.809999999999999</v>
      </c>
      <c r="E279" s="4">
        <v>1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6">
        <f t="shared" si="43"/>
        <v>8.9049999999999994</v>
      </c>
    </row>
    <row r="280" spans="1:14" ht="15.75" customHeight="1">
      <c r="A280" s="2">
        <v>45668</v>
      </c>
      <c r="B280" s="3" t="s">
        <v>27</v>
      </c>
      <c r="C280" s="4">
        <v>30</v>
      </c>
      <c r="D280" s="5">
        <v>19.73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</row>
    <row r="281" spans="1:14" ht="15.75" customHeight="1">
      <c r="A281" s="2">
        <v>45675</v>
      </c>
      <c r="B281" s="3" t="s">
        <v>27</v>
      </c>
      <c r="C281" s="4">
        <v>119</v>
      </c>
      <c r="D281" s="5">
        <v>16.96</v>
      </c>
      <c r="E281" s="4">
        <v>2</v>
      </c>
      <c r="F281" s="4">
        <v>0</v>
      </c>
      <c r="G281" s="4">
        <v>0</v>
      </c>
      <c r="H281" s="4">
        <v>1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6">
        <f t="shared" ref="N281:N285" si="44">(E281*D281)*30%</f>
        <v>10.176</v>
      </c>
    </row>
    <row r="282" spans="1:14" ht="15.75" customHeight="1">
      <c r="A282" s="2">
        <v>45724</v>
      </c>
      <c r="B282" s="3" t="s">
        <v>27</v>
      </c>
      <c r="C282" s="4">
        <v>114</v>
      </c>
      <c r="D282" s="5">
        <v>16.43</v>
      </c>
      <c r="E282" s="4">
        <v>2</v>
      </c>
      <c r="F282" s="4">
        <v>1</v>
      </c>
      <c r="G282" s="4">
        <v>0</v>
      </c>
      <c r="H282" s="4">
        <v>1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6">
        <f t="shared" si="44"/>
        <v>9.8579999999999988</v>
      </c>
    </row>
    <row r="283" spans="1:14" ht="15.75" customHeight="1">
      <c r="A283" s="2">
        <v>45766</v>
      </c>
      <c r="B283" s="3" t="s">
        <v>27</v>
      </c>
      <c r="C283" s="4">
        <v>70</v>
      </c>
      <c r="D283" s="5">
        <v>18.600000000000001</v>
      </c>
      <c r="E283" s="4">
        <v>2</v>
      </c>
      <c r="F283" s="4">
        <v>1</v>
      </c>
      <c r="G283" s="4">
        <v>0</v>
      </c>
      <c r="H283" s="4">
        <v>1</v>
      </c>
      <c r="I283" s="4">
        <v>1</v>
      </c>
      <c r="J283" s="4">
        <v>0</v>
      </c>
      <c r="K283" s="4">
        <v>0</v>
      </c>
      <c r="L283" s="4">
        <v>0</v>
      </c>
      <c r="M283" s="4">
        <v>0</v>
      </c>
      <c r="N283" s="6">
        <f t="shared" si="44"/>
        <v>11.16</v>
      </c>
    </row>
    <row r="284" spans="1:14" ht="15.75" customHeight="1">
      <c r="A284" s="2">
        <v>45794</v>
      </c>
      <c r="B284" s="3" t="s">
        <v>27</v>
      </c>
      <c r="C284" s="4">
        <v>93</v>
      </c>
      <c r="D284" s="5">
        <v>17.77</v>
      </c>
      <c r="E284" s="4">
        <v>2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6">
        <f t="shared" si="44"/>
        <v>10.661999999999999</v>
      </c>
    </row>
    <row r="285" spans="1:14" ht="15.75" customHeight="1">
      <c r="A285" s="2">
        <v>45801</v>
      </c>
      <c r="B285" s="3" t="s">
        <v>27</v>
      </c>
      <c r="C285" s="4">
        <v>65</v>
      </c>
      <c r="D285" s="5">
        <v>17</v>
      </c>
      <c r="E285" s="4">
        <v>2</v>
      </c>
      <c r="F285" s="4">
        <v>0</v>
      </c>
      <c r="G285" s="4">
        <v>0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6">
        <f t="shared" si="44"/>
        <v>10.199999999999999</v>
      </c>
    </row>
    <row r="286" spans="1:14" ht="15.75" customHeight="1">
      <c r="A286" s="2">
        <v>45689</v>
      </c>
      <c r="B286" s="3" t="s">
        <v>27</v>
      </c>
      <c r="C286" s="4">
        <v>135</v>
      </c>
      <c r="D286" s="5">
        <v>16.45</v>
      </c>
      <c r="E286" s="4">
        <v>3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6">
        <f>(E286*D286)*50%</f>
        <v>24.674999999999997</v>
      </c>
    </row>
    <row r="287" spans="1:14" ht="15.75" customHeight="1">
      <c r="A287" s="2">
        <v>45710</v>
      </c>
      <c r="B287" s="3" t="s">
        <v>27</v>
      </c>
      <c r="C287" s="4">
        <v>86</v>
      </c>
      <c r="D287" s="5">
        <v>17.25</v>
      </c>
      <c r="E287" s="4">
        <v>3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6">
        <f>(E287*D287)*15%</f>
        <v>7.7624999999999993</v>
      </c>
    </row>
    <row r="288" spans="1:14" ht="15.75" customHeight="1">
      <c r="A288" s="2">
        <v>45738</v>
      </c>
      <c r="B288" s="3" t="s">
        <v>27</v>
      </c>
      <c r="C288" s="4">
        <v>80</v>
      </c>
      <c r="D288" s="5">
        <v>16.5</v>
      </c>
      <c r="E288" s="4">
        <v>3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6">
        <f t="shared" ref="N288:N289" si="45">(E288*D288)*50%</f>
        <v>24.75</v>
      </c>
    </row>
    <row r="289" spans="1:14" ht="15.75" customHeight="1">
      <c r="A289" s="2">
        <v>45759</v>
      </c>
      <c r="B289" s="3" t="s">
        <v>27</v>
      </c>
      <c r="C289" s="4">
        <v>104</v>
      </c>
      <c r="D289" s="5">
        <v>17.37</v>
      </c>
      <c r="E289" s="4">
        <v>3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6">
        <f t="shared" si="45"/>
        <v>26.055</v>
      </c>
    </row>
    <row r="290" spans="1:14" ht="15.75" customHeight="1">
      <c r="A290" s="2">
        <v>45773</v>
      </c>
      <c r="B290" s="3" t="s">
        <v>27</v>
      </c>
      <c r="C290" s="4">
        <v>74</v>
      </c>
      <c r="D290" s="5">
        <v>17.71</v>
      </c>
      <c r="E290" s="4">
        <v>3</v>
      </c>
      <c r="F290" s="4">
        <v>0</v>
      </c>
      <c r="G290" s="4">
        <v>1</v>
      </c>
      <c r="H290" s="4">
        <v>1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6">
        <f>(E290*D290)*15%</f>
        <v>7.9695</v>
      </c>
    </row>
    <row r="291" spans="1:14" ht="15.75" customHeight="1">
      <c r="A291" s="2">
        <v>45752</v>
      </c>
      <c r="B291" s="3" t="s">
        <v>27</v>
      </c>
      <c r="C291" s="4">
        <v>101</v>
      </c>
      <c r="D291" s="5">
        <v>17.420000000000002</v>
      </c>
      <c r="E291" s="4">
        <v>0</v>
      </c>
      <c r="F291" s="4">
        <v>1</v>
      </c>
      <c r="G291" s="4">
        <v>0</v>
      </c>
      <c r="H291" s="4">
        <v>1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4" ht="15.75" customHeight="1">
      <c r="A292" s="2">
        <v>45682</v>
      </c>
      <c r="B292" s="3" t="s">
        <v>27</v>
      </c>
      <c r="C292" s="4">
        <v>105</v>
      </c>
      <c r="D292" s="5">
        <v>16.7</v>
      </c>
      <c r="E292" s="4">
        <v>4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6">
        <f>(E292*D292)*50%</f>
        <v>33.4</v>
      </c>
    </row>
    <row r="293" spans="1:14" ht="15.75" customHeight="1">
      <c r="A293" s="2">
        <v>45696</v>
      </c>
      <c r="B293" s="3" t="s">
        <v>27</v>
      </c>
      <c r="C293" s="4">
        <v>102</v>
      </c>
      <c r="D293" s="5">
        <v>17.48</v>
      </c>
      <c r="E293" s="4">
        <v>4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6">
        <f>(E293*D293)*15%</f>
        <v>10.488</v>
      </c>
    </row>
    <row r="294" spans="1:14" ht="15.75" customHeight="1">
      <c r="A294" s="2">
        <v>45731</v>
      </c>
      <c r="B294" s="3" t="s">
        <v>27</v>
      </c>
      <c r="C294" s="4">
        <v>91</v>
      </c>
      <c r="D294" s="5">
        <v>17.649999999999999</v>
      </c>
      <c r="E294" s="4">
        <v>4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6">
        <f t="shared" ref="N294:N297" si="46">(E294*D294)*50%</f>
        <v>35.299999999999997</v>
      </c>
    </row>
    <row r="295" spans="1:14" ht="15.75" customHeight="1">
      <c r="A295" s="2">
        <v>45745</v>
      </c>
      <c r="B295" s="3" t="s">
        <v>27</v>
      </c>
      <c r="C295" s="4">
        <v>118</v>
      </c>
      <c r="D295" s="5">
        <v>18.54</v>
      </c>
      <c r="E295" s="4">
        <v>4</v>
      </c>
      <c r="F295" s="4">
        <v>0</v>
      </c>
      <c r="G295" s="4">
        <v>0</v>
      </c>
      <c r="H295" s="4">
        <v>1</v>
      </c>
      <c r="I295" s="4">
        <v>1</v>
      </c>
      <c r="J295" s="4">
        <v>0</v>
      </c>
      <c r="K295" s="4">
        <v>0</v>
      </c>
      <c r="L295" s="4">
        <v>0</v>
      </c>
      <c r="M295" s="4">
        <v>0</v>
      </c>
      <c r="N295" s="6">
        <f t="shared" si="46"/>
        <v>37.08</v>
      </c>
    </row>
    <row r="296" spans="1:14" ht="15.75" customHeight="1">
      <c r="A296" s="2">
        <v>45787</v>
      </c>
      <c r="B296" s="3" t="s">
        <v>27</v>
      </c>
      <c r="C296" s="4">
        <v>125</v>
      </c>
      <c r="D296" s="5">
        <v>16.16</v>
      </c>
      <c r="E296" s="4">
        <v>4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6">
        <f t="shared" si="46"/>
        <v>32.32</v>
      </c>
    </row>
    <row r="297" spans="1:14" ht="15.75" customHeight="1">
      <c r="A297" s="2">
        <v>45703</v>
      </c>
      <c r="B297" s="3" t="s">
        <v>27</v>
      </c>
      <c r="C297" s="4">
        <v>81</v>
      </c>
      <c r="D297" s="5">
        <v>15.63</v>
      </c>
      <c r="E297" s="4">
        <v>5</v>
      </c>
      <c r="F297" s="4">
        <v>0</v>
      </c>
      <c r="G297" s="4">
        <v>0</v>
      </c>
      <c r="H297" s="4">
        <v>1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6">
        <f t="shared" si="46"/>
        <v>39.075000000000003</v>
      </c>
    </row>
    <row r="298" spans="1:14" ht="15.75" customHeight="1">
      <c r="A298" s="2">
        <v>45780</v>
      </c>
      <c r="B298" s="3" t="s">
        <v>27</v>
      </c>
      <c r="C298" s="4">
        <v>105</v>
      </c>
      <c r="D298" s="5">
        <v>16.23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1</v>
      </c>
    </row>
    <row r="299" spans="1:14" ht="15.75" customHeight="1">
      <c r="A299" s="2">
        <v>44193</v>
      </c>
      <c r="B299" s="3" t="s">
        <v>27</v>
      </c>
      <c r="C299" s="4">
        <v>59</v>
      </c>
      <c r="D299" s="5">
        <v>19.79</v>
      </c>
      <c r="E299" s="4">
        <v>6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6">
        <f>(E299*D299)*30%</f>
        <v>35.622</v>
      </c>
    </row>
    <row r="300" spans="1:14" ht="15.75" customHeight="1">
      <c r="A300" s="2">
        <v>45661</v>
      </c>
      <c r="B300" s="3" t="s">
        <v>28</v>
      </c>
      <c r="C300" s="4">
        <v>23</v>
      </c>
      <c r="D300" s="5">
        <v>29.42</v>
      </c>
      <c r="E300" s="4">
        <v>1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6">
        <f>(E300*D300)*50%</f>
        <v>14.71</v>
      </c>
    </row>
    <row r="301" spans="1:14" ht="15.75" customHeight="1">
      <c r="A301" s="2">
        <v>44193</v>
      </c>
      <c r="B301" s="3" t="s">
        <v>28</v>
      </c>
      <c r="C301" s="4">
        <v>40</v>
      </c>
      <c r="D301" s="5">
        <v>26.82</v>
      </c>
      <c r="E301" s="4">
        <v>0</v>
      </c>
      <c r="F301" s="4">
        <v>0</v>
      </c>
      <c r="G301" s="4">
        <v>0</v>
      </c>
      <c r="H301" s="4">
        <v>0</v>
      </c>
      <c r="I301" s="4">
        <v>1</v>
      </c>
      <c r="J301" s="4">
        <v>0</v>
      </c>
      <c r="K301" s="4">
        <v>0</v>
      </c>
      <c r="L301" s="4">
        <v>0</v>
      </c>
      <c r="M301" s="4">
        <v>0</v>
      </c>
    </row>
    <row r="302" spans="1:14" ht="15.75" customHeight="1">
      <c r="A302" s="2">
        <v>45675</v>
      </c>
      <c r="B302" s="3" t="s">
        <v>28</v>
      </c>
      <c r="C302" s="4">
        <v>60</v>
      </c>
      <c r="D302" s="5">
        <v>20</v>
      </c>
      <c r="E302" s="4">
        <v>1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6">
        <f t="shared" ref="N302:N303" si="47">(E302*D302)*30%</f>
        <v>6</v>
      </c>
    </row>
    <row r="303" spans="1:14" ht="15.75" customHeight="1">
      <c r="A303" s="2">
        <v>45696</v>
      </c>
      <c r="B303" s="3" t="s">
        <v>28</v>
      </c>
      <c r="C303" s="4">
        <v>38</v>
      </c>
      <c r="D303" s="5">
        <v>24.63</v>
      </c>
      <c r="E303" s="4">
        <v>1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6">
        <f t="shared" si="47"/>
        <v>7.3889999999999993</v>
      </c>
    </row>
    <row r="304" spans="1:14" ht="15.75" customHeight="1">
      <c r="A304" s="2">
        <v>45703</v>
      </c>
      <c r="B304" s="3" t="s">
        <v>28</v>
      </c>
      <c r="C304" s="4">
        <v>40</v>
      </c>
      <c r="D304" s="5">
        <v>23.51</v>
      </c>
      <c r="E304" s="4">
        <v>1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6">
        <f>(E304*D304)*50%</f>
        <v>11.755000000000001</v>
      </c>
    </row>
    <row r="305" spans="1:14" ht="15.75" customHeight="1">
      <c r="A305" s="2">
        <v>45668</v>
      </c>
      <c r="B305" s="3" t="s">
        <v>28</v>
      </c>
      <c r="C305" s="4">
        <v>7</v>
      </c>
      <c r="D305" s="5">
        <v>19.28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4" ht="15.75" customHeight="1">
      <c r="A306" s="2">
        <v>45710</v>
      </c>
      <c r="B306" s="3" t="s">
        <v>28</v>
      </c>
      <c r="C306" s="4">
        <v>36</v>
      </c>
      <c r="D306" s="5">
        <v>20.440000000000001</v>
      </c>
      <c r="E306" s="4">
        <v>1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6">
        <f t="shared" ref="N306:N307" si="48">(E306*D306)*50%</f>
        <v>10.220000000000001</v>
      </c>
    </row>
    <row r="307" spans="1:14" ht="15.75" customHeight="1">
      <c r="A307" s="2">
        <v>45731</v>
      </c>
      <c r="B307" s="3" t="s">
        <v>28</v>
      </c>
      <c r="C307" s="4">
        <v>34</v>
      </c>
      <c r="D307" s="5">
        <v>24.63</v>
      </c>
      <c r="E307" s="4">
        <v>1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6">
        <f t="shared" si="48"/>
        <v>12.315</v>
      </c>
    </row>
    <row r="308" spans="1:14" ht="15.75" customHeight="1">
      <c r="A308" s="2">
        <v>45759</v>
      </c>
      <c r="B308" s="3" t="s">
        <v>28</v>
      </c>
      <c r="C308" s="4">
        <v>37</v>
      </c>
      <c r="D308" s="5">
        <v>20.29</v>
      </c>
      <c r="E308" s="4">
        <v>1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6">
        <f>(E308*D308)*15%</f>
        <v>3.0434999999999999</v>
      </c>
    </row>
    <row r="309" spans="1:14" ht="15.75" customHeight="1">
      <c r="A309" s="2">
        <v>45780</v>
      </c>
      <c r="B309" s="3" t="s">
        <v>28</v>
      </c>
      <c r="C309" s="4">
        <v>34</v>
      </c>
      <c r="D309" s="5">
        <v>20.74</v>
      </c>
      <c r="E309" s="4">
        <v>1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6">
        <f>(E309*D309)*50%</f>
        <v>10.37</v>
      </c>
    </row>
    <row r="310" spans="1:14" ht="15.75" customHeight="1">
      <c r="A310" s="2">
        <v>45689</v>
      </c>
      <c r="B310" s="3" t="s">
        <v>28</v>
      </c>
      <c r="C310" s="4">
        <v>46</v>
      </c>
      <c r="D310" s="5">
        <v>23.09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</row>
    <row r="311" spans="1:14" ht="15.75" customHeight="1">
      <c r="A311" s="2">
        <v>45801</v>
      </c>
      <c r="B311" s="3" t="s">
        <v>28</v>
      </c>
      <c r="C311" s="4">
        <v>41</v>
      </c>
      <c r="D311" s="5">
        <v>25.61</v>
      </c>
      <c r="E311" s="4">
        <v>1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6">
        <f t="shared" ref="N311:N312" si="49">(E311*D311)*30%</f>
        <v>7.6829999999999998</v>
      </c>
    </row>
    <row r="312" spans="1:14" ht="15.75" customHeight="1">
      <c r="A312" s="2">
        <v>45682</v>
      </c>
      <c r="B312" s="3" t="s">
        <v>28</v>
      </c>
      <c r="C312" s="4">
        <v>38</v>
      </c>
      <c r="D312" s="5">
        <v>20.34</v>
      </c>
      <c r="E312" s="4">
        <v>2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6">
        <f t="shared" si="49"/>
        <v>12.203999999999999</v>
      </c>
    </row>
    <row r="313" spans="1:14" ht="15.75" customHeight="1">
      <c r="A313" s="2">
        <v>45724</v>
      </c>
      <c r="B313" s="3" t="s">
        <v>28</v>
      </c>
      <c r="C313" s="4">
        <v>37</v>
      </c>
      <c r="D313" s="5">
        <v>19.47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4" ht="15.75" customHeight="1">
      <c r="A314" s="2">
        <v>45717</v>
      </c>
      <c r="B314" s="3" t="s">
        <v>28</v>
      </c>
      <c r="C314" s="4">
        <v>36</v>
      </c>
      <c r="D314" s="5">
        <v>20.9</v>
      </c>
      <c r="E314" s="4">
        <v>3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6">
        <f>(E314*D314)*15%</f>
        <v>9.4049999999999994</v>
      </c>
    </row>
    <row r="315" spans="1:14" ht="15.75" customHeight="1">
      <c r="A315" s="2">
        <v>45738</v>
      </c>
      <c r="B315" s="3" t="s">
        <v>28</v>
      </c>
      <c r="C315" s="4">
        <v>37</v>
      </c>
      <c r="D315" s="5">
        <v>24.44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4" ht="15.75" customHeight="1">
      <c r="A316" s="2">
        <v>45745</v>
      </c>
      <c r="B316" s="3" t="s">
        <v>28</v>
      </c>
      <c r="C316" s="4">
        <v>46</v>
      </c>
      <c r="D316" s="5">
        <v>22.86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</row>
    <row r="317" spans="1:14" ht="15.75" customHeight="1">
      <c r="A317" s="2">
        <v>45752</v>
      </c>
      <c r="B317" s="3" t="s">
        <v>28</v>
      </c>
      <c r="C317" s="4">
        <v>21</v>
      </c>
      <c r="D317" s="5">
        <v>23.41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4" ht="15.75" customHeight="1">
      <c r="A318" s="2">
        <v>45766</v>
      </c>
      <c r="B318" s="3" t="s">
        <v>28</v>
      </c>
      <c r="C318" s="4">
        <v>30</v>
      </c>
      <c r="D318" s="5">
        <v>21.81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</row>
    <row r="319" spans="1:14" ht="15.75" customHeight="1">
      <c r="A319" s="2">
        <v>45773</v>
      </c>
      <c r="B319" s="3" t="s">
        <v>28</v>
      </c>
      <c r="C319" s="4">
        <v>35</v>
      </c>
      <c r="D319" s="5">
        <v>22.75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4" ht="15.75" customHeight="1">
      <c r="A320" s="2">
        <v>45787</v>
      </c>
      <c r="B320" s="3" t="s">
        <v>28</v>
      </c>
      <c r="C320" s="4">
        <v>36</v>
      </c>
      <c r="D320" s="5">
        <v>21.55</v>
      </c>
      <c r="E320" s="4">
        <v>0</v>
      </c>
      <c r="F320" s="4">
        <v>0</v>
      </c>
      <c r="G320" s="4">
        <v>0</v>
      </c>
      <c r="H320" s="4">
        <v>0</v>
      </c>
      <c r="I320" s="4">
        <v>1</v>
      </c>
      <c r="J320" s="4">
        <v>0</v>
      </c>
      <c r="K320" s="4">
        <v>0</v>
      </c>
      <c r="L320" s="4">
        <v>0</v>
      </c>
      <c r="M320" s="4">
        <v>0</v>
      </c>
    </row>
    <row r="321" spans="1:14" ht="15.75" customHeight="1">
      <c r="A321" s="2">
        <v>45794</v>
      </c>
      <c r="B321" s="3" t="s">
        <v>28</v>
      </c>
      <c r="C321" s="4">
        <v>36</v>
      </c>
      <c r="D321" s="5">
        <v>18.22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4" ht="15.75" customHeight="1">
      <c r="A322" s="2">
        <v>45808</v>
      </c>
      <c r="B322" s="3" t="s">
        <v>28</v>
      </c>
      <c r="C322" s="4">
        <v>43</v>
      </c>
      <c r="D322" s="5">
        <v>16.93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</row>
    <row r="323" spans="1:14" ht="15.75" customHeight="1">
      <c r="A323" s="2">
        <v>45661</v>
      </c>
      <c r="B323" s="3" t="s">
        <v>29</v>
      </c>
      <c r="C323" s="4">
        <v>67</v>
      </c>
      <c r="D323" s="5">
        <v>16.670000000000002</v>
      </c>
      <c r="E323" s="4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6">
        <f>(E323*D323)*30%</f>
        <v>5.0010000000000003</v>
      </c>
    </row>
    <row r="324" spans="1:14" ht="15.75" customHeight="1">
      <c r="A324" s="2">
        <v>45780</v>
      </c>
      <c r="B324" s="3" t="s">
        <v>29</v>
      </c>
      <c r="C324" s="4">
        <v>89</v>
      </c>
      <c r="D324" s="5">
        <v>18.3</v>
      </c>
      <c r="E324" s="4">
        <v>1</v>
      </c>
      <c r="F324" s="4">
        <v>0</v>
      </c>
      <c r="G324" s="4">
        <v>0</v>
      </c>
      <c r="H324" s="4">
        <v>1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6">
        <f>(E324*D324)*50%</f>
        <v>9.15</v>
      </c>
    </row>
    <row r="325" spans="1:14" ht="15.75" customHeight="1">
      <c r="A325" s="2">
        <v>45794</v>
      </c>
      <c r="B325" s="3" t="s">
        <v>29</v>
      </c>
      <c r="C325" s="4">
        <v>60</v>
      </c>
      <c r="D325" s="5">
        <v>18.48</v>
      </c>
      <c r="E325" s="4">
        <v>1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6">
        <f>(E325*D325)*15%</f>
        <v>2.7719999999999998</v>
      </c>
    </row>
    <row r="326" spans="1:14" ht="15.75" customHeight="1">
      <c r="A326" s="2">
        <v>45808</v>
      </c>
      <c r="B326" s="3" t="s">
        <v>29</v>
      </c>
      <c r="C326" s="4">
        <v>66</v>
      </c>
      <c r="D326" s="5">
        <v>16.38</v>
      </c>
      <c r="E326" s="4">
        <v>1</v>
      </c>
      <c r="F326" s="4">
        <v>0</v>
      </c>
      <c r="G326" s="4">
        <v>0</v>
      </c>
      <c r="H326" s="4">
        <v>1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6">
        <f>(E326*D326)*30%</f>
        <v>4.9139999999999997</v>
      </c>
    </row>
    <row r="327" spans="1:14" ht="15.75" customHeight="1">
      <c r="A327" s="2">
        <v>45703</v>
      </c>
      <c r="B327" s="3" t="s">
        <v>29</v>
      </c>
      <c r="C327" s="4">
        <v>89</v>
      </c>
      <c r="D327" s="5">
        <v>16.440000000000001</v>
      </c>
      <c r="E327" s="4">
        <v>2</v>
      </c>
      <c r="F327" s="4">
        <v>0</v>
      </c>
      <c r="G327" s="4">
        <v>0</v>
      </c>
      <c r="H327" s="4">
        <v>2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6">
        <f t="shared" ref="N327:N328" si="50">(E327*D327)*15%</f>
        <v>4.9320000000000004</v>
      </c>
    </row>
    <row r="328" spans="1:14" ht="15.75" customHeight="1">
      <c r="A328" s="2">
        <v>45724</v>
      </c>
      <c r="B328" s="3" t="s">
        <v>29</v>
      </c>
      <c r="C328" s="4">
        <v>57</v>
      </c>
      <c r="D328" s="5">
        <v>19.03</v>
      </c>
      <c r="E328" s="4">
        <v>2</v>
      </c>
      <c r="F328" s="4">
        <v>0</v>
      </c>
      <c r="G328" s="4">
        <v>0</v>
      </c>
      <c r="H328" s="4">
        <v>1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6">
        <f t="shared" si="50"/>
        <v>5.7090000000000005</v>
      </c>
    </row>
    <row r="329" spans="1:14" ht="15.75" customHeight="1">
      <c r="A329" s="2">
        <v>45731</v>
      </c>
      <c r="B329" s="3" t="s">
        <v>29</v>
      </c>
      <c r="C329" s="4">
        <v>95</v>
      </c>
      <c r="D329" s="5">
        <v>17.71</v>
      </c>
      <c r="E329" s="4">
        <v>2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6">
        <f>(E329*D329)*30%</f>
        <v>10.625999999999999</v>
      </c>
    </row>
    <row r="330" spans="1:14" ht="15.75" customHeight="1">
      <c r="A330" s="2">
        <v>45759</v>
      </c>
      <c r="B330" s="3" t="s">
        <v>29</v>
      </c>
      <c r="C330" s="4">
        <v>50</v>
      </c>
      <c r="D330" s="5">
        <v>16.88</v>
      </c>
      <c r="E330" s="4">
        <v>2</v>
      </c>
      <c r="F330" s="4">
        <v>0</v>
      </c>
      <c r="G330" s="4">
        <v>0</v>
      </c>
      <c r="H330" s="4">
        <v>1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6">
        <f>(E330*D330)*50%</f>
        <v>16.88</v>
      </c>
    </row>
    <row r="331" spans="1:14" ht="15.75" customHeight="1">
      <c r="A331" s="2">
        <v>45717</v>
      </c>
      <c r="B331" s="3" t="s">
        <v>29</v>
      </c>
      <c r="C331" s="4">
        <v>64</v>
      </c>
      <c r="D331" s="5">
        <v>17.91</v>
      </c>
      <c r="E331" s="4">
        <v>0</v>
      </c>
      <c r="F331" s="4">
        <v>0</v>
      </c>
      <c r="G331" s="4">
        <v>0</v>
      </c>
      <c r="H331" s="4">
        <v>1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4" ht="15.75" customHeight="1">
      <c r="A332" s="2">
        <v>44193</v>
      </c>
      <c r="B332" s="3" t="s">
        <v>29</v>
      </c>
      <c r="C332" s="4">
        <v>110</v>
      </c>
      <c r="D332" s="5">
        <v>19.82</v>
      </c>
      <c r="E332" s="4">
        <v>3</v>
      </c>
      <c r="F332" s="4">
        <v>1</v>
      </c>
      <c r="G332" s="4">
        <v>0</v>
      </c>
      <c r="H332" s="4">
        <v>0</v>
      </c>
      <c r="I332" s="4">
        <v>1</v>
      </c>
      <c r="J332" s="4">
        <v>0</v>
      </c>
      <c r="K332" s="4">
        <v>0</v>
      </c>
      <c r="L332" s="4">
        <v>0</v>
      </c>
      <c r="M332" s="4">
        <v>0</v>
      </c>
      <c r="N332" s="6">
        <f>(E332*D332)*50%</f>
        <v>29.73</v>
      </c>
    </row>
    <row r="333" spans="1:14" ht="15.75" customHeight="1">
      <c r="A333" s="2">
        <v>45668</v>
      </c>
      <c r="B333" s="3" t="s">
        <v>29</v>
      </c>
      <c r="C333" s="4">
        <v>43</v>
      </c>
      <c r="D333" s="5">
        <v>19.77</v>
      </c>
      <c r="E333" s="4">
        <v>3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6">
        <f>(E333*D333)*30%</f>
        <v>17.792999999999999</v>
      </c>
    </row>
    <row r="334" spans="1:14" ht="15.75" customHeight="1">
      <c r="A334" s="2">
        <v>45682</v>
      </c>
      <c r="B334" s="3" t="s">
        <v>29</v>
      </c>
      <c r="C334" s="4">
        <v>119</v>
      </c>
      <c r="D334" s="5">
        <v>17.97</v>
      </c>
      <c r="E334" s="4">
        <v>3</v>
      </c>
      <c r="F334" s="4">
        <v>0</v>
      </c>
      <c r="G334" s="4">
        <v>0</v>
      </c>
      <c r="H334" s="4">
        <v>0</v>
      </c>
      <c r="I334" s="4">
        <v>1</v>
      </c>
      <c r="J334" s="4">
        <v>0</v>
      </c>
      <c r="K334" s="4">
        <v>0</v>
      </c>
      <c r="L334" s="4">
        <v>0</v>
      </c>
      <c r="M334" s="4">
        <v>0</v>
      </c>
      <c r="N334" s="6">
        <f>(E334*D334)*50%</f>
        <v>26.954999999999998</v>
      </c>
    </row>
    <row r="335" spans="1:14" ht="15.75" customHeight="1">
      <c r="A335" s="2">
        <v>45696</v>
      </c>
      <c r="B335" s="3" t="s">
        <v>29</v>
      </c>
      <c r="C335" s="4">
        <v>98</v>
      </c>
      <c r="D335" s="5">
        <v>16.75</v>
      </c>
      <c r="E335" s="4">
        <v>3</v>
      </c>
      <c r="F335" s="4">
        <v>0</v>
      </c>
      <c r="G335" s="4">
        <v>1</v>
      </c>
      <c r="H335" s="4">
        <v>2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6">
        <f>(E335*D335)*15%</f>
        <v>7.5374999999999996</v>
      </c>
    </row>
    <row r="336" spans="1:14" ht="15.75" customHeight="1">
      <c r="A336" s="2">
        <v>45738</v>
      </c>
      <c r="B336" s="3" t="s">
        <v>29</v>
      </c>
      <c r="C336" s="4">
        <v>59</v>
      </c>
      <c r="D336" s="5">
        <v>16.64</v>
      </c>
      <c r="E336" s="4">
        <v>0</v>
      </c>
      <c r="F336" s="4">
        <v>0</v>
      </c>
      <c r="G336" s="4">
        <v>0</v>
      </c>
      <c r="H336" s="4">
        <v>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</row>
    <row r="337" spans="1:14" ht="15.75" customHeight="1">
      <c r="A337" s="2">
        <v>45745</v>
      </c>
      <c r="B337" s="3" t="s">
        <v>29</v>
      </c>
      <c r="C337" s="4">
        <v>64</v>
      </c>
      <c r="D337" s="5">
        <v>15.78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4" ht="15.75" customHeight="1">
      <c r="A338" s="2">
        <v>45766</v>
      </c>
      <c r="B338" s="3" t="s">
        <v>29</v>
      </c>
      <c r="C338" s="4">
        <v>78</v>
      </c>
      <c r="D338" s="5">
        <v>20.11</v>
      </c>
      <c r="E338" s="4">
        <v>3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6">
        <f>(E338*D338)*30%</f>
        <v>18.099</v>
      </c>
    </row>
    <row r="339" spans="1:14" ht="15.75" customHeight="1">
      <c r="A339" s="2">
        <v>45773</v>
      </c>
      <c r="B339" s="3" t="s">
        <v>29</v>
      </c>
      <c r="C339" s="4">
        <v>66</v>
      </c>
      <c r="D339" s="5">
        <v>15.71</v>
      </c>
      <c r="E339" s="4">
        <v>3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6">
        <f>(E339*D339)*50%</f>
        <v>23.565000000000001</v>
      </c>
    </row>
    <row r="340" spans="1:14" ht="15.75" customHeight="1">
      <c r="A340" s="2">
        <v>45752</v>
      </c>
      <c r="B340" s="3" t="s">
        <v>29</v>
      </c>
      <c r="C340" s="4">
        <v>55</v>
      </c>
      <c r="D340" s="5">
        <v>17.22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</row>
    <row r="341" spans="1:14" ht="15.75" customHeight="1">
      <c r="A341" s="2">
        <v>45787</v>
      </c>
      <c r="B341" s="3" t="s">
        <v>29</v>
      </c>
      <c r="C341" s="4">
        <v>61</v>
      </c>
      <c r="D341" s="5">
        <v>18.53</v>
      </c>
      <c r="E341" s="4">
        <v>4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6">
        <f>(E341*D341)*15%</f>
        <v>11.118</v>
      </c>
    </row>
    <row r="342" spans="1:14" ht="15.75" customHeight="1">
      <c r="A342" s="2">
        <v>45710</v>
      </c>
      <c r="B342" s="3" t="s">
        <v>29</v>
      </c>
      <c r="C342" s="4">
        <v>66</v>
      </c>
      <c r="D342" s="5">
        <v>17.02</v>
      </c>
      <c r="E342" s="4">
        <v>5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6">
        <f>(E342*D342)*30%</f>
        <v>25.529999999999998</v>
      </c>
    </row>
    <row r="343" spans="1:14" ht="15.75" customHeight="1">
      <c r="A343" s="2">
        <v>45675</v>
      </c>
      <c r="B343" s="3" t="s">
        <v>29</v>
      </c>
      <c r="C343" s="4">
        <v>148</v>
      </c>
      <c r="D343" s="5">
        <v>16.739999999999998</v>
      </c>
      <c r="E343" s="4">
        <v>8</v>
      </c>
      <c r="F343" s="4">
        <v>0</v>
      </c>
      <c r="G343" s="4">
        <v>1</v>
      </c>
      <c r="H343" s="4">
        <v>2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6">
        <f>(E343*D343)*50%</f>
        <v>66.959999999999994</v>
      </c>
    </row>
    <row r="344" spans="1:14" ht="15.75" customHeight="1">
      <c r="A344" s="2">
        <v>45689</v>
      </c>
      <c r="B344" s="3" t="s">
        <v>29</v>
      </c>
      <c r="C344" s="4">
        <v>167</v>
      </c>
      <c r="D344" s="5">
        <v>17.87</v>
      </c>
      <c r="E344" s="4">
        <v>8</v>
      </c>
      <c r="F344" s="4">
        <v>0</v>
      </c>
      <c r="G344" s="4">
        <v>0</v>
      </c>
      <c r="H344" s="4">
        <v>1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6">
        <f>(E344*D344)*15%</f>
        <v>21.443999999999999</v>
      </c>
    </row>
    <row r="345" spans="1:14" ht="15.75" customHeight="1">
      <c r="A345" s="2">
        <v>45801</v>
      </c>
      <c r="B345" s="3" t="s">
        <v>29</v>
      </c>
      <c r="C345" s="4">
        <v>60</v>
      </c>
      <c r="D345" s="5">
        <v>17.170000000000002</v>
      </c>
      <c r="E345" s="4">
        <v>0</v>
      </c>
      <c r="F345" s="4">
        <v>0</v>
      </c>
      <c r="G345" s="4">
        <v>0</v>
      </c>
      <c r="H345" s="4">
        <v>0</v>
      </c>
      <c r="I345" s="4">
        <v>1</v>
      </c>
      <c r="J345" s="4">
        <v>0</v>
      </c>
      <c r="K345" s="4">
        <v>0</v>
      </c>
      <c r="L345" s="4">
        <v>0</v>
      </c>
      <c r="M345" s="4">
        <v>0</v>
      </c>
    </row>
    <row r="346" spans="1:14" ht="15.75" customHeight="1">
      <c r="A346" s="2">
        <v>45661</v>
      </c>
      <c r="B346" s="3" t="s">
        <v>30</v>
      </c>
      <c r="C346" s="4">
        <v>12</v>
      </c>
      <c r="D346" s="5">
        <v>28.1</v>
      </c>
      <c r="E346" s="4">
        <v>1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2</v>
      </c>
      <c r="M346" s="4">
        <v>0</v>
      </c>
      <c r="N346" s="6">
        <f>(E346*D346)*30%</f>
        <v>8.43</v>
      </c>
    </row>
    <row r="347" spans="1:14" ht="15.75" customHeight="1">
      <c r="A347" s="2">
        <v>44193</v>
      </c>
      <c r="B347" s="3" t="s">
        <v>30</v>
      </c>
      <c r="C347" s="4">
        <v>12</v>
      </c>
      <c r="D347" s="5">
        <v>24.62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</row>
    <row r="348" spans="1:14" ht="15.75" customHeight="1">
      <c r="A348" s="2">
        <v>45689</v>
      </c>
      <c r="B348" s="3" t="s">
        <v>30</v>
      </c>
      <c r="C348" s="4">
        <v>31</v>
      </c>
      <c r="D348" s="5">
        <v>17.010000000000002</v>
      </c>
      <c r="E348" s="4">
        <v>1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6">
        <f>(E348*D348)*50%</f>
        <v>8.5050000000000008</v>
      </c>
    </row>
    <row r="349" spans="1:14" ht="15.75" customHeight="1">
      <c r="A349" s="2">
        <v>45696</v>
      </c>
      <c r="B349" s="3" t="s">
        <v>30</v>
      </c>
      <c r="C349" s="4">
        <v>13</v>
      </c>
      <c r="D349" s="5">
        <v>20.100000000000001</v>
      </c>
      <c r="E349" s="4">
        <v>1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6">
        <f>(E349*D349)*15%</f>
        <v>3.0150000000000001</v>
      </c>
    </row>
    <row r="350" spans="1:14" ht="15.75" customHeight="1">
      <c r="A350" s="2">
        <v>45710</v>
      </c>
      <c r="B350" s="3" t="s">
        <v>30</v>
      </c>
      <c r="C350" s="4">
        <v>20</v>
      </c>
      <c r="D350" s="5">
        <v>21.98</v>
      </c>
      <c r="E350" s="4">
        <v>1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6">
        <f>(E350*D350)*50%</f>
        <v>10.99</v>
      </c>
    </row>
    <row r="351" spans="1:14" ht="15.75" customHeight="1">
      <c r="A351" s="2">
        <v>45668</v>
      </c>
      <c r="B351" s="3" t="s">
        <v>30</v>
      </c>
      <c r="C351" s="4">
        <v>4</v>
      </c>
      <c r="D351" s="5">
        <v>25.11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4" ht="15.75" customHeight="1">
      <c r="A352" s="2">
        <v>45731</v>
      </c>
      <c r="B352" s="3" t="s">
        <v>30</v>
      </c>
      <c r="C352" s="4">
        <v>13</v>
      </c>
      <c r="D352" s="5">
        <v>27.56</v>
      </c>
      <c r="E352" s="4">
        <v>1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6">
        <f>(E352*D352)*30%</f>
        <v>8.2679999999999989</v>
      </c>
    </row>
    <row r="353" spans="1:14" ht="15.75" customHeight="1">
      <c r="A353" s="2">
        <v>45675</v>
      </c>
      <c r="B353" s="3" t="s">
        <v>30</v>
      </c>
      <c r="C353" s="4">
        <v>31</v>
      </c>
      <c r="D353" s="5">
        <v>21.55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1</v>
      </c>
    </row>
    <row r="354" spans="1:14" ht="15.75" customHeight="1">
      <c r="A354" s="2">
        <v>45752</v>
      </c>
      <c r="B354" s="3" t="s">
        <v>30</v>
      </c>
      <c r="C354" s="4">
        <v>26</v>
      </c>
      <c r="D354" s="5">
        <v>20.25</v>
      </c>
      <c r="E354" s="4">
        <v>1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6">
        <f>(E354*D354)*50%</f>
        <v>10.125</v>
      </c>
    </row>
    <row r="355" spans="1:14" ht="15.75" customHeight="1">
      <c r="A355" s="2">
        <v>45759</v>
      </c>
      <c r="B355" s="3" t="s">
        <v>30</v>
      </c>
      <c r="C355" s="4">
        <v>21</v>
      </c>
      <c r="D355" s="5">
        <v>21.23</v>
      </c>
      <c r="E355" s="4">
        <v>1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6">
        <f>(E355*D355)*15%</f>
        <v>3.1844999999999999</v>
      </c>
    </row>
    <row r="356" spans="1:14" ht="15.75" customHeight="1">
      <c r="A356" s="2">
        <v>45766</v>
      </c>
      <c r="B356" s="3" t="s">
        <v>30</v>
      </c>
      <c r="C356" s="4">
        <v>17</v>
      </c>
      <c r="D356" s="5">
        <v>21.06</v>
      </c>
      <c r="E356" s="4">
        <v>1</v>
      </c>
      <c r="F356" s="4">
        <v>0</v>
      </c>
      <c r="G356" s="4">
        <v>0</v>
      </c>
      <c r="H356" s="4">
        <v>0</v>
      </c>
      <c r="I356" s="4">
        <v>1</v>
      </c>
      <c r="J356" s="4">
        <v>0</v>
      </c>
      <c r="K356" s="4">
        <v>0</v>
      </c>
      <c r="L356" s="4">
        <v>0</v>
      </c>
      <c r="M356" s="4">
        <v>0</v>
      </c>
      <c r="N356" s="6">
        <f>(E356*D356)*30%</f>
        <v>6.3179999999999996</v>
      </c>
    </row>
    <row r="357" spans="1:14" ht="15.75" customHeight="1">
      <c r="A357" s="2">
        <v>45682</v>
      </c>
      <c r="B357" s="3" t="s">
        <v>30</v>
      </c>
      <c r="C357" s="4">
        <v>22</v>
      </c>
      <c r="D357" s="5">
        <v>18.149999999999999</v>
      </c>
      <c r="E357" s="4">
        <v>0</v>
      </c>
      <c r="F357" s="4">
        <v>0</v>
      </c>
      <c r="G357" s="4">
        <v>0</v>
      </c>
      <c r="H357" s="4">
        <v>1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4" ht="15.75" customHeight="1">
      <c r="A358" s="2">
        <v>45801</v>
      </c>
      <c r="B358" s="3" t="s">
        <v>30</v>
      </c>
      <c r="C358" s="4">
        <v>13</v>
      </c>
      <c r="D358" s="5">
        <v>22.08</v>
      </c>
      <c r="E358" s="4">
        <v>1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6">
        <f>(E358*D358)*30%</f>
        <v>6.6239999999999997</v>
      </c>
    </row>
    <row r="359" spans="1:14" ht="15.75" customHeight="1">
      <c r="A359" s="2">
        <v>45808</v>
      </c>
      <c r="B359" s="3" t="s">
        <v>30</v>
      </c>
      <c r="C359" s="4">
        <v>15</v>
      </c>
      <c r="D359" s="5">
        <v>22.5</v>
      </c>
      <c r="E359" s="4">
        <v>1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6">
        <f>(E359*D359)*15%</f>
        <v>3.375</v>
      </c>
    </row>
    <row r="360" spans="1:14" ht="15.75" customHeight="1">
      <c r="A360" s="2">
        <v>45703</v>
      </c>
      <c r="B360" s="3" t="s">
        <v>30</v>
      </c>
      <c r="C360" s="4">
        <v>19</v>
      </c>
      <c r="D360" s="5">
        <v>23.31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</row>
    <row r="361" spans="1:14" ht="15.75" customHeight="1">
      <c r="A361" s="2">
        <v>45738</v>
      </c>
      <c r="B361" s="3" t="s">
        <v>30</v>
      </c>
      <c r="C361" s="4">
        <v>19</v>
      </c>
      <c r="D361" s="5">
        <v>22.47</v>
      </c>
      <c r="E361" s="4">
        <v>2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6">
        <f t="shared" ref="N361:N362" si="51">(E361*D361)*15%</f>
        <v>6.7409999999999997</v>
      </c>
    </row>
    <row r="362" spans="1:14" ht="15.75" customHeight="1">
      <c r="A362" s="2">
        <v>45745</v>
      </c>
      <c r="B362" s="3" t="s">
        <v>30</v>
      </c>
      <c r="C362" s="4">
        <v>15</v>
      </c>
      <c r="D362" s="5">
        <v>24.17</v>
      </c>
      <c r="E362" s="4">
        <v>2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6">
        <f t="shared" si="51"/>
        <v>7.2510000000000003</v>
      </c>
    </row>
    <row r="363" spans="1:14" ht="15.75" customHeight="1">
      <c r="A363" s="2">
        <v>45717</v>
      </c>
      <c r="B363" s="3" t="s">
        <v>30</v>
      </c>
      <c r="C363" s="4">
        <v>19</v>
      </c>
      <c r="D363" s="5">
        <v>20.149999999999999</v>
      </c>
      <c r="E363" s="4">
        <v>0</v>
      </c>
      <c r="F363" s="4">
        <v>1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</row>
    <row r="364" spans="1:14" ht="15.75" customHeight="1">
      <c r="A364" s="2">
        <v>45780</v>
      </c>
      <c r="B364" s="3" t="s">
        <v>30</v>
      </c>
      <c r="C364" s="4">
        <v>21</v>
      </c>
      <c r="D364" s="5">
        <v>23.44</v>
      </c>
      <c r="E364" s="4">
        <v>2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6">
        <f>(E364*D364)*30%</f>
        <v>14.064</v>
      </c>
    </row>
    <row r="365" spans="1:14" ht="15.75" customHeight="1">
      <c r="A365" s="2">
        <v>45787</v>
      </c>
      <c r="B365" s="3" t="s">
        <v>30</v>
      </c>
      <c r="C365" s="4">
        <v>17</v>
      </c>
      <c r="D365" s="5">
        <v>20.87</v>
      </c>
      <c r="E365" s="4">
        <v>2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6">
        <f>(E365*D365)*15%</f>
        <v>6.2610000000000001</v>
      </c>
    </row>
    <row r="366" spans="1:14" ht="15.75" customHeight="1">
      <c r="A366" s="2">
        <v>45724</v>
      </c>
      <c r="B366" s="3" t="s">
        <v>30</v>
      </c>
      <c r="C366" s="4">
        <v>17</v>
      </c>
      <c r="D366" s="5">
        <v>19.66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</row>
    <row r="367" spans="1:14" ht="15.75" customHeight="1">
      <c r="A367" s="2">
        <v>45773</v>
      </c>
      <c r="B367" s="3" t="s">
        <v>30</v>
      </c>
      <c r="C367" s="4">
        <v>19</v>
      </c>
      <c r="D367" s="5">
        <v>30.86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4" ht="15.75" customHeight="1">
      <c r="A368" s="2">
        <v>45794</v>
      </c>
      <c r="B368" s="3" t="s">
        <v>30</v>
      </c>
      <c r="C368" s="4">
        <v>8</v>
      </c>
      <c r="D368" s="5">
        <v>26.83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</row>
    <row r="369" spans="1:14" ht="15.75" customHeight="1">
      <c r="A369" s="2">
        <v>45668</v>
      </c>
      <c r="B369" s="3" t="s">
        <v>31</v>
      </c>
      <c r="C369" s="4">
        <v>12</v>
      </c>
      <c r="D369" s="5">
        <v>14.41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1</v>
      </c>
    </row>
    <row r="370" spans="1:14" ht="15.75" customHeight="1">
      <c r="A370" s="2">
        <v>45773</v>
      </c>
      <c r="B370" s="3" t="s">
        <v>31</v>
      </c>
      <c r="C370" s="4">
        <v>30</v>
      </c>
      <c r="D370" s="5">
        <v>17.559999999999999</v>
      </c>
      <c r="E370" s="4">
        <v>1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6">
        <f>(E370*D370)*30%</f>
        <v>5.2679999999999998</v>
      </c>
    </row>
    <row r="371" spans="1:14" ht="15.75" customHeight="1">
      <c r="A371" s="2">
        <v>45794</v>
      </c>
      <c r="B371" s="3" t="s">
        <v>31</v>
      </c>
      <c r="C371" s="4">
        <v>41</v>
      </c>
      <c r="D371" s="5">
        <v>15.79</v>
      </c>
      <c r="E371" s="4">
        <v>1</v>
      </c>
      <c r="F371" s="4">
        <v>0</v>
      </c>
      <c r="G371" s="4">
        <v>1</v>
      </c>
      <c r="H371" s="4">
        <v>0</v>
      </c>
      <c r="I371" s="4">
        <v>0</v>
      </c>
      <c r="J371" s="4">
        <v>0</v>
      </c>
      <c r="K371" s="4">
        <v>0</v>
      </c>
      <c r="L371" s="4">
        <v>1</v>
      </c>
      <c r="M371" s="4">
        <v>0</v>
      </c>
      <c r="N371" s="6">
        <f>(E371*D371)*15%</f>
        <v>2.3684999999999996</v>
      </c>
    </row>
    <row r="372" spans="1:14" ht="15.75" customHeight="1">
      <c r="A372" s="2">
        <v>45801</v>
      </c>
      <c r="B372" s="3" t="s">
        <v>31</v>
      </c>
      <c r="C372" s="4">
        <v>53</v>
      </c>
      <c r="D372" s="5">
        <v>15.64</v>
      </c>
      <c r="E372" s="4">
        <v>1</v>
      </c>
      <c r="F372" s="4">
        <v>0</v>
      </c>
      <c r="G372" s="4">
        <v>0</v>
      </c>
      <c r="H372" s="4">
        <v>0</v>
      </c>
      <c r="I372" s="4">
        <v>1</v>
      </c>
      <c r="J372" s="4">
        <v>0</v>
      </c>
      <c r="K372" s="4">
        <v>0</v>
      </c>
      <c r="L372" s="4">
        <v>0</v>
      </c>
      <c r="M372" s="4">
        <v>0</v>
      </c>
      <c r="N372" s="6">
        <f>(E372*D372)*50%</f>
        <v>7.82</v>
      </c>
    </row>
    <row r="373" spans="1:14" ht="15.75" customHeight="1">
      <c r="A373" s="2">
        <v>44193</v>
      </c>
      <c r="B373" s="3" t="s">
        <v>31</v>
      </c>
      <c r="C373" s="4">
        <v>22</v>
      </c>
      <c r="D373" s="5">
        <v>19.37</v>
      </c>
      <c r="E373" s="4">
        <v>2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1</v>
      </c>
      <c r="M373" s="4">
        <v>0</v>
      </c>
      <c r="N373" s="6">
        <f t="shared" ref="N373:N374" si="52">(E373*D373)*30%</f>
        <v>11.622</v>
      </c>
    </row>
    <row r="374" spans="1:14" ht="15.75" customHeight="1">
      <c r="A374" s="2">
        <v>45696</v>
      </c>
      <c r="B374" s="3" t="s">
        <v>31</v>
      </c>
      <c r="C374" s="4">
        <v>62</v>
      </c>
      <c r="D374" s="5">
        <v>16.170000000000002</v>
      </c>
      <c r="E374" s="4">
        <v>2</v>
      </c>
      <c r="F374" s="4">
        <v>0</v>
      </c>
      <c r="G374" s="4">
        <v>0</v>
      </c>
      <c r="H374" s="4">
        <v>1</v>
      </c>
      <c r="I374" s="4">
        <v>2</v>
      </c>
      <c r="J374" s="4">
        <v>0</v>
      </c>
      <c r="K374" s="4">
        <v>0</v>
      </c>
      <c r="L374" s="4">
        <v>0</v>
      </c>
      <c r="M374" s="4">
        <v>0</v>
      </c>
      <c r="N374" s="6">
        <f t="shared" si="52"/>
        <v>9.702</v>
      </c>
    </row>
    <row r="375" spans="1:14" ht="15.75" customHeight="1">
      <c r="A375" s="2">
        <v>45724</v>
      </c>
      <c r="B375" s="3" t="s">
        <v>31</v>
      </c>
      <c r="C375" s="4">
        <v>37</v>
      </c>
      <c r="D375" s="5">
        <v>19.36</v>
      </c>
      <c r="E375" s="4">
        <v>2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6">
        <f t="shared" ref="N375:N377" si="53">(E375*D375)*50%</f>
        <v>19.36</v>
      </c>
    </row>
    <row r="376" spans="1:14" ht="15.75" customHeight="1">
      <c r="A376" s="2">
        <v>45738</v>
      </c>
      <c r="B376" s="3" t="s">
        <v>31</v>
      </c>
      <c r="C376" s="4">
        <v>55</v>
      </c>
      <c r="D376" s="5">
        <v>14.48</v>
      </c>
      <c r="E376" s="4">
        <v>2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6">
        <f t="shared" si="53"/>
        <v>14.48</v>
      </c>
    </row>
    <row r="377" spans="1:14" ht="15.75" customHeight="1">
      <c r="A377" s="2">
        <v>45745</v>
      </c>
      <c r="B377" s="3" t="s">
        <v>31</v>
      </c>
      <c r="C377" s="4">
        <v>36</v>
      </c>
      <c r="D377" s="5">
        <v>16.010000000000002</v>
      </c>
      <c r="E377" s="4">
        <v>2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6">
        <f t="shared" si="53"/>
        <v>16.010000000000002</v>
      </c>
    </row>
    <row r="378" spans="1:14" ht="15.75" customHeight="1">
      <c r="A378" s="2">
        <v>45780</v>
      </c>
      <c r="B378" s="3" t="s">
        <v>31</v>
      </c>
      <c r="C378" s="4">
        <v>49</v>
      </c>
      <c r="D378" s="5">
        <v>17.829999999999998</v>
      </c>
      <c r="E378" s="4">
        <v>2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6">
        <f>(E378*D378)*15%</f>
        <v>5.3489999999999993</v>
      </c>
    </row>
    <row r="379" spans="1:14" ht="15.75" customHeight="1">
      <c r="A379" s="2">
        <v>45703</v>
      </c>
      <c r="B379" s="3" t="s">
        <v>31</v>
      </c>
      <c r="C379" s="4">
        <v>59</v>
      </c>
      <c r="D379" s="5">
        <v>16.41</v>
      </c>
      <c r="E379" s="4">
        <v>3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6">
        <f t="shared" ref="N379:N380" si="54">(E379*D379)*30%</f>
        <v>14.769</v>
      </c>
    </row>
    <row r="380" spans="1:14" ht="15.75" customHeight="1">
      <c r="A380" s="2">
        <v>45717</v>
      </c>
      <c r="B380" s="3" t="s">
        <v>31</v>
      </c>
      <c r="C380" s="4">
        <v>36</v>
      </c>
      <c r="D380" s="5">
        <v>17.36</v>
      </c>
      <c r="E380" s="4">
        <v>3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6">
        <f t="shared" si="54"/>
        <v>15.623999999999999</v>
      </c>
    </row>
    <row r="381" spans="1:14" ht="15.75" customHeight="1">
      <c r="A381" s="2">
        <v>45661</v>
      </c>
      <c r="B381" s="3" t="s">
        <v>31</v>
      </c>
      <c r="C381" s="4">
        <v>53</v>
      </c>
      <c r="D381" s="5">
        <v>17.850000000000001</v>
      </c>
      <c r="E381" s="4">
        <v>4</v>
      </c>
      <c r="F381" s="4">
        <v>0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6">
        <f>(E381*D381)*15%</f>
        <v>10.71</v>
      </c>
    </row>
    <row r="382" spans="1:14" ht="15.75" customHeight="1">
      <c r="A382" s="2">
        <v>45675</v>
      </c>
      <c r="B382" s="3" t="s">
        <v>31</v>
      </c>
      <c r="C382" s="4">
        <v>76</v>
      </c>
      <c r="D382" s="5">
        <v>16.48</v>
      </c>
      <c r="E382" s="4">
        <v>4</v>
      </c>
      <c r="F382" s="4">
        <v>0</v>
      </c>
      <c r="G382" s="4">
        <v>1</v>
      </c>
      <c r="H382" s="4">
        <v>0</v>
      </c>
      <c r="I382" s="4">
        <v>0</v>
      </c>
      <c r="J382" s="4">
        <v>2</v>
      </c>
      <c r="K382" s="4">
        <v>0</v>
      </c>
      <c r="L382" s="4">
        <v>1</v>
      </c>
      <c r="M382" s="4">
        <v>0</v>
      </c>
      <c r="N382" s="6">
        <f>(E382*D382)*30%</f>
        <v>19.776</v>
      </c>
    </row>
    <row r="383" spans="1:14" ht="15.75" customHeight="1">
      <c r="A383" s="2">
        <v>45766</v>
      </c>
      <c r="B383" s="3" t="s">
        <v>31</v>
      </c>
      <c r="C383" s="4">
        <v>32</v>
      </c>
      <c r="D383" s="5">
        <v>15.98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</row>
    <row r="384" spans="1:14" ht="15.75" customHeight="1">
      <c r="A384" s="2">
        <v>45759</v>
      </c>
      <c r="B384" s="3" t="s">
        <v>31</v>
      </c>
      <c r="C384" s="4">
        <v>42</v>
      </c>
      <c r="D384" s="5">
        <v>16.18</v>
      </c>
      <c r="E384" s="4">
        <v>4</v>
      </c>
      <c r="F384" s="4">
        <v>0</v>
      </c>
      <c r="G384" s="4">
        <v>0</v>
      </c>
      <c r="H384" s="4">
        <v>2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6">
        <f>(E384*D384)*15%</f>
        <v>9.7080000000000002</v>
      </c>
    </row>
    <row r="385" spans="1:14" ht="15.75" customHeight="1">
      <c r="A385" s="2">
        <v>45787</v>
      </c>
      <c r="B385" s="3" t="s">
        <v>31</v>
      </c>
      <c r="C385" s="4">
        <v>57</v>
      </c>
      <c r="D385" s="5">
        <v>17.59</v>
      </c>
      <c r="E385" s="4">
        <v>4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6">
        <f t="shared" ref="N385:N386" si="55">(E385*D385)*30%</f>
        <v>21.108000000000001</v>
      </c>
    </row>
    <row r="386" spans="1:14" ht="15.75" customHeight="1">
      <c r="A386" s="2">
        <v>45682</v>
      </c>
      <c r="B386" s="3" t="s">
        <v>31</v>
      </c>
      <c r="C386" s="4">
        <v>77</v>
      </c>
      <c r="D386" s="5">
        <v>16.260000000000002</v>
      </c>
      <c r="E386" s="4">
        <v>5</v>
      </c>
      <c r="F386" s="4">
        <v>2</v>
      </c>
      <c r="G386" s="4">
        <v>0</v>
      </c>
      <c r="H386" s="4">
        <v>1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6">
        <f t="shared" si="55"/>
        <v>24.390000000000004</v>
      </c>
    </row>
    <row r="387" spans="1:14" ht="15.75" customHeight="1">
      <c r="A387" s="2">
        <v>45710</v>
      </c>
      <c r="B387" s="3" t="s">
        <v>31</v>
      </c>
      <c r="C387" s="4">
        <v>46</v>
      </c>
      <c r="D387" s="5">
        <v>18.3</v>
      </c>
      <c r="E387" s="4">
        <v>5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6">
        <f t="shared" ref="N387:N389" si="56">(E387*D387)*15%</f>
        <v>13.725</v>
      </c>
    </row>
    <row r="388" spans="1:14" ht="15.75" customHeight="1">
      <c r="A388" s="2">
        <v>45731</v>
      </c>
      <c r="B388" s="3" t="s">
        <v>31</v>
      </c>
      <c r="C388" s="4">
        <v>50</v>
      </c>
      <c r="D388" s="5">
        <v>15.76</v>
      </c>
      <c r="E388" s="4">
        <v>5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1</v>
      </c>
      <c r="L388" s="4">
        <v>0</v>
      </c>
      <c r="M388" s="4">
        <v>0</v>
      </c>
      <c r="N388" s="6">
        <f t="shared" si="56"/>
        <v>11.819999999999999</v>
      </c>
    </row>
    <row r="389" spans="1:14" ht="15.75" customHeight="1">
      <c r="A389" s="2">
        <v>45752</v>
      </c>
      <c r="B389" s="3" t="s">
        <v>31</v>
      </c>
      <c r="C389" s="4">
        <v>40</v>
      </c>
      <c r="D389" s="5">
        <v>19.260000000000002</v>
      </c>
      <c r="E389" s="4">
        <v>5</v>
      </c>
      <c r="F389" s="4">
        <v>0</v>
      </c>
      <c r="G389" s="4">
        <v>0</v>
      </c>
      <c r="H389" s="4">
        <v>2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6">
        <f t="shared" si="56"/>
        <v>14.445</v>
      </c>
    </row>
    <row r="390" spans="1:14" ht="15.75" customHeight="1">
      <c r="A390" s="2">
        <v>45808</v>
      </c>
      <c r="B390" s="3" t="s">
        <v>31</v>
      </c>
      <c r="C390" s="4">
        <v>34</v>
      </c>
      <c r="D390" s="5">
        <v>19.79</v>
      </c>
      <c r="E390" s="4">
        <v>5</v>
      </c>
      <c r="F390" s="4">
        <v>0</v>
      </c>
      <c r="G390" s="4">
        <v>0</v>
      </c>
      <c r="H390" s="4">
        <v>1</v>
      </c>
      <c r="I390" s="4">
        <v>0</v>
      </c>
      <c r="J390" s="4">
        <v>0</v>
      </c>
      <c r="K390" s="4">
        <v>0</v>
      </c>
      <c r="L390" s="4">
        <v>2</v>
      </c>
      <c r="M390" s="4">
        <v>2</v>
      </c>
      <c r="N390" s="6">
        <f>(E390*D390)*30%</f>
        <v>29.684999999999995</v>
      </c>
    </row>
    <row r="391" spans="1:14" ht="15.75" customHeight="1">
      <c r="A391" s="2">
        <v>45689</v>
      </c>
      <c r="B391" s="3" t="s">
        <v>31</v>
      </c>
      <c r="C391" s="4">
        <v>77</v>
      </c>
      <c r="D391" s="5">
        <v>16.16</v>
      </c>
      <c r="E391" s="4">
        <v>9</v>
      </c>
      <c r="F391" s="4">
        <v>0</v>
      </c>
      <c r="G391" s="4">
        <v>0</v>
      </c>
      <c r="H391" s="4">
        <v>1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6">
        <f t="shared" ref="N391:N393" si="57">(E391*D391)*15%</f>
        <v>21.815999999999999</v>
      </c>
    </row>
    <row r="392" spans="1:14" ht="15.75" customHeight="1">
      <c r="A392" s="2">
        <v>45668</v>
      </c>
      <c r="B392" s="3" t="s">
        <v>32</v>
      </c>
      <c r="C392" s="4">
        <v>5</v>
      </c>
      <c r="D392" s="5">
        <v>19.13</v>
      </c>
      <c r="E392" s="4">
        <v>1</v>
      </c>
      <c r="F392" s="4">
        <v>0</v>
      </c>
      <c r="G392" s="4">
        <v>0</v>
      </c>
      <c r="H392" s="4">
        <v>1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6">
        <f t="shared" si="57"/>
        <v>2.8694999999999999</v>
      </c>
    </row>
    <row r="393" spans="1:14" ht="15.75" customHeight="1">
      <c r="A393" s="2">
        <v>45717</v>
      </c>
      <c r="B393" s="3" t="s">
        <v>32</v>
      </c>
      <c r="C393" s="4">
        <v>40</v>
      </c>
      <c r="D393" s="5">
        <v>18.78</v>
      </c>
      <c r="E393" s="4">
        <v>1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6">
        <f t="shared" si="57"/>
        <v>2.8170000000000002</v>
      </c>
    </row>
    <row r="394" spans="1:14" ht="15.75" customHeight="1">
      <c r="A394" s="2">
        <v>45773</v>
      </c>
      <c r="B394" s="3" t="s">
        <v>32</v>
      </c>
      <c r="C394" s="4">
        <v>51</v>
      </c>
      <c r="D394" s="5">
        <v>22.67</v>
      </c>
      <c r="E394" s="4">
        <v>1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6">
        <f>(E394*D394)*50%</f>
        <v>11.335000000000001</v>
      </c>
    </row>
    <row r="395" spans="1:14" ht="15.75" customHeight="1">
      <c r="A395" s="2">
        <v>45801</v>
      </c>
      <c r="B395" s="3" t="s">
        <v>32</v>
      </c>
      <c r="C395" s="4">
        <v>40</v>
      </c>
      <c r="D395" s="5">
        <v>19</v>
      </c>
      <c r="E395" s="4">
        <v>1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6">
        <f>(E395*D395)*30%</f>
        <v>5.7</v>
      </c>
    </row>
    <row r="396" spans="1:14" ht="15.75" customHeight="1">
      <c r="A396" s="2">
        <v>45682</v>
      </c>
      <c r="B396" s="3" t="s">
        <v>32</v>
      </c>
      <c r="C396" s="4">
        <v>36</v>
      </c>
      <c r="D396" s="5">
        <v>18.62</v>
      </c>
      <c r="E396" s="4">
        <v>2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6">
        <f t="shared" ref="N396:N399" si="58">(E396*D396)*15%</f>
        <v>5.5860000000000003</v>
      </c>
    </row>
    <row r="397" spans="1:14" ht="15.75" customHeight="1">
      <c r="A397" s="2">
        <v>45710</v>
      </c>
      <c r="B397" s="3" t="s">
        <v>32</v>
      </c>
      <c r="C397" s="4">
        <v>34</v>
      </c>
      <c r="D397" s="5">
        <v>20.46</v>
      </c>
      <c r="E397" s="4">
        <v>2</v>
      </c>
      <c r="F397" s="4">
        <v>0</v>
      </c>
      <c r="G397" s="4">
        <v>0</v>
      </c>
      <c r="H397" s="4">
        <v>1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6">
        <f t="shared" si="58"/>
        <v>6.1379999999999999</v>
      </c>
    </row>
    <row r="398" spans="1:14" ht="15.75" customHeight="1">
      <c r="A398" s="2">
        <v>45738</v>
      </c>
      <c r="B398" s="3" t="s">
        <v>32</v>
      </c>
      <c r="C398" s="4">
        <v>36</v>
      </c>
      <c r="D398" s="5">
        <v>17.84</v>
      </c>
      <c r="E398" s="4">
        <v>2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6">
        <f t="shared" si="58"/>
        <v>5.3519999999999994</v>
      </c>
    </row>
    <row r="399" spans="1:14" ht="15.75" customHeight="1">
      <c r="A399" s="2">
        <v>45752</v>
      </c>
      <c r="B399" s="3" t="s">
        <v>32</v>
      </c>
      <c r="C399" s="4">
        <v>50</v>
      </c>
      <c r="D399" s="5">
        <v>19.78</v>
      </c>
      <c r="E399" s="4">
        <v>2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6">
        <f t="shared" si="58"/>
        <v>5.9340000000000002</v>
      </c>
    </row>
    <row r="400" spans="1:14" ht="15.75" customHeight="1">
      <c r="A400" s="2">
        <v>45661</v>
      </c>
      <c r="B400" s="3" t="s">
        <v>32</v>
      </c>
      <c r="C400" s="4">
        <v>58</v>
      </c>
      <c r="D400" s="5">
        <v>22.33</v>
      </c>
      <c r="E400" s="4">
        <v>3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6">
        <f>(E400*D400)*50%</f>
        <v>33.494999999999997</v>
      </c>
    </row>
    <row r="401" spans="1:14" ht="15.75" customHeight="1">
      <c r="A401" s="2">
        <v>45689</v>
      </c>
      <c r="B401" s="3" t="s">
        <v>32</v>
      </c>
      <c r="C401" s="4">
        <v>44</v>
      </c>
      <c r="D401" s="5">
        <v>18.93</v>
      </c>
      <c r="E401" s="4">
        <v>3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6">
        <f>(E401*D401)*30%</f>
        <v>17.036999999999999</v>
      </c>
    </row>
    <row r="402" spans="1:14" ht="15.75" customHeight="1">
      <c r="A402" s="2">
        <v>45696</v>
      </c>
      <c r="B402" s="3" t="s">
        <v>32</v>
      </c>
      <c r="C402" s="4">
        <v>52</v>
      </c>
      <c r="D402" s="5">
        <v>19.88</v>
      </c>
      <c r="E402" s="4">
        <v>3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6">
        <f t="shared" ref="N402:N405" si="59">(E402*D402)*50%</f>
        <v>29.82</v>
      </c>
    </row>
    <row r="403" spans="1:14" ht="15.75" customHeight="1">
      <c r="A403" s="2">
        <v>45703</v>
      </c>
      <c r="B403" s="3" t="s">
        <v>32</v>
      </c>
      <c r="C403" s="4">
        <v>42</v>
      </c>
      <c r="D403" s="5">
        <v>17.29</v>
      </c>
      <c r="E403" s="4">
        <v>3</v>
      </c>
      <c r="F403" s="4">
        <v>1</v>
      </c>
      <c r="G403" s="4">
        <v>0</v>
      </c>
      <c r="H403" s="4">
        <v>1</v>
      </c>
      <c r="I403" s="4">
        <v>0</v>
      </c>
      <c r="J403" s="4">
        <v>0</v>
      </c>
      <c r="K403" s="4">
        <v>0</v>
      </c>
      <c r="L403" s="4">
        <v>0</v>
      </c>
      <c r="M403" s="4">
        <v>1</v>
      </c>
      <c r="N403" s="6">
        <f t="shared" si="59"/>
        <v>25.934999999999999</v>
      </c>
    </row>
    <row r="404" spans="1:14" ht="15.75" customHeight="1">
      <c r="A404" s="2">
        <v>45759</v>
      </c>
      <c r="B404" s="3" t="s">
        <v>32</v>
      </c>
      <c r="C404" s="4">
        <v>40</v>
      </c>
      <c r="D404" s="5">
        <v>23.26</v>
      </c>
      <c r="E404" s="4">
        <v>3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6">
        <f t="shared" si="59"/>
        <v>34.89</v>
      </c>
    </row>
    <row r="405" spans="1:14" ht="15.75" customHeight="1">
      <c r="A405" s="2">
        <v>45787</v>
      </c>
      <c r="B405" s="3" t="s">
        <v>32</v>
      </c>
      <c r="C405" s="4">
        <v>51</v>
      </c>
      <c r="D405" s="5">
        <v>17.37</v>
      </c>
      <c r="E405" s="4">
        <v>3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6">
        <f t="shared" si="59"/>
        <v>26.055</v>
      </c>
    </row>
    <row r="406" spans="1:14" ht="15.75" customHeight="1">
      <c r="A406" s="2">
        <v>45724</v>
      </c>
      <c r="B406" s="3" t="s">
        <v>32</v>
      </c>
      <c r="C406" s="4">
        <v>43</v>
      </c>
      <c r="D406" s="5">
        <v>20.07</v>
      </c>
      <c r="E406" s="4">
        <v>4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6">
        <f>(E406*D406)*30%</f>
        <v>24.084</v>
      </c>
    </row>
    <row r="407" spans="1:14" ht="15.75" customHeight="1">
      <c r="A407" s="2">
        <v>45731</v>
      </c>
      <c r="B407" s="3" t="s">
        <v>32</v>
      </c>
      <c r="C407" s="4">
        <v>44</v>
      </c>
      <c r="D407" s="5">
        <v>20.25</v>
      </c>
      <c r="E407" s="4">
        <v>4</v>
      </c>
      <c r="F407" s="4">
        <v>0</v>
      </c>
      <c r="G407" s="4">
        <v>0</v>
      </c>
      <c r="H407" s="4">
        <v>2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6">
        <f t="shared" ref="N407:N408" si="60">(E407*D407)*15%</f>
        <v>12.15</v>
      </c>
    </row>
    <row r="408" spans="1:14" ht="15.75" customHeight="1">
      <c r="A408" s="2">
        <v>45745</v>
      </c>
      <c r="B408" s="3" t="s">
        <v>32</v>
      </c>
      <c r="C408" s="4">
        <v>51</v>
      </c>
      <c r="D408" s="5">
        <v>21.94</v>
      </c>
      <c r="E408" s="4">
        <v>4</v>
      </c>
      <c r="F408" s="4">
        <v>2</v>
      </c>
      <c r="G408" s="4">
        <v>0</v>
      </c>
      <c r="H408" s="4">
        <v>2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6">
        <f t="shared" si="60"/>
        <v>13.164</v>
      </c>
    </row>
    <row r="409" spans="1:14" ht="15.75" customHeight="1">
      <c r="A409" s="2">
        <v>45780</v>
      </c>
      <c r="B409" s="3" t="s">
        <v>32</v>
      </c>
      <c r="C409" s="4">
        <v>52</v>
      </c>
      <c r="D409" s="5">
        <v>20.49</v>
      </c>
      <c r="E409" s="4">
        <v>4</v>
      </c>
      <c r="F409" s="4">
        <v>0</v>
      </c>
      <c r="G409" s="4">
        <v>0</v>
      </c>
      <c r="H409" s="4">
        <v>1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6">
        <f>(E409*D409)*50%</f>
        <v>40.98</v>
      </c>
    </row>
    <row r="410" spans="1:14" ht="15.75" customHeight="1">
      <c r="A410" s="2">
        <v>44193</v>
      </c>
      <c r="B410" s="3" t="s">
        <v>32</v>
      </c>
      <c r="C410" s="4">
        <v>37</v>
      </c>
      <c r="D410" s="5">
        <v>18.149999999999999</v>
      </c>
      <c r="E410" s="4">
        <v>6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1</v>
      </c>
      <c r="L410" s="4">
        <v>0</v>
      </c>
      <c r="M410" s="4">
        <v>0</v>
      </c>
      <c r="N410" s="6">
        <f>(E410*D410)*15%</f>
        <v>16.334999999999997</v>
      </c>
    </row>
    <row r="411" spans="1:14" ht="15.75" customHeight="1">
      <c r="A411" s="2">
        <v>45766</v>
      </c>
      <c r="B411" s="3" t="s">
        <v>32</v>
      </c>
      <c r="C411" s="4">
        <v>41</v>
      </c>
      <c r="D411" s="5">
        <v>20.16</v>
      </c>
      <c r="E411" s="4">
        <v>6</v>
      </c>
      <c r="F411" s="4">
        <v>0</v>
      </c>
      <c r="G411" s="4">
        <v>0</v>
      </c>
      <c r="H411" s="4">
        <v>1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6">
        <f>(E411*D411)*30%</f>
        <v>36.288000000000004</v>
      </c>
    </row>
    <row r="412" spans="1:14" ht="15.75" customHeight="1">
      <c r="A412" s="2">
        <v>45794</v>
      </c>
      <c r="B412" s="3" t="s">
        <v>32</v>
      </c>
      <c r="C412" s="4">
        <v>52</v>
      </c>
      <c r="D412" s="5">
        <v>20.32</v>
      </c>
      <c r="E412" s="4">
        <v>0</v>
      </c>
      <c r="F412" s="4">
        <v>0</v>
      </c>
      <c r="G412" s="4">
        <v>0</v>
      </c>
      <c r="H412" s="4">
        <v>1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</row>
    <row r="413" spans="1:14" ht="15.75" customHeight="1">
      <c r="A413" s="2">
        <v>45675</v>
      </c>
      <c r="B413" s="3" t="s">
        <v>32</v>
      </c>
      <c r="C413" s="4">
        <v>64</v>
      </c>
      <c r="D413" s="5">
        <v>20.91</v>
      </c>
      <c r="E413" s="4">
        <v>13</v>
      </c>
      <c r="F413" s="4">
        <v>0</v>
      </c>
      <c r="G413" s="4">
        <v>0</v>
      </c>
      <c r="H413" s="4">
        <v>1</v>
      </c>
      <c r="I413" s="4">
        <v>0</v>
      </c>
      <c r="J413" s="4">
        <v>0</v>
      </c>
      <c r="K413" s="4">
        <v>0</v>
      </c>
      <c r="L413" s="4">
        <v>1</v>
      </c>
      <c r="M413" s="4">
        <v>0</v>
      </c>
      <c r="N413" s="6">
        <f>(E413*D413)*15%</f>
        <v>40.774499999999996</v>
      </c>
    </row>
    <row r="414" spans="1:14" ht="15.75" customHeight="1">
      <c r="A414" s="2">
        <v>45773</v>
      </c>
      <c r="B414" s="3" t="s">
        <v>33</v>
      </c>
      <c r="C414" s="4">
        <v>48</v>
      </c>
      <c r="D414" s="5">
        <v>21.91</v>
      </c>
      <c r="E414" s="4">
        <v>1</v>
      </c>
      <c r="F414" s="4">
        <v>0</v>
      </c>
      <c r="G414" s="4">
        <v>0</v>
      </c>
      <c r="H414" s="4">
        <v>1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6">
        <f t="shared" ref="N414:N416" si="61">(E414*D414)*30%</f>
        <v>6.5729999999999995</v>
      </c>
    </row>
    <row r="415" spans="1:14" ht="15.75" customHeight="1">
      <c r="A415" s="2">
        <v>45787</v>
      </c>
      <c r="B415" s="3" t="s">
        <v>33</v>
      </c>
      <c r="C415" s="4">
        <v>57</v>
      </c>
      <c r="D415" s="5">
        <v>19.2</v>
      </c>
      <c r="E415" s="4">
        <v>1</v>
      </c>
      <c r="F415" s="4">
        <v>0</v>
      </c>
      <c r="G415" s="4">
        <v>0</v>
      </c>
      <c r="H415" s="4">
        <v>0</v>
      </c>
      <c r="I415" s="4">
        <v>1</v>
      </c>
      <c r="J415" s="4">
        <v>0</v>
      </c>
      <c r="K415" s="4">
        <v>0</v>
      </c>
      <c r="L415" s="4">
        <v>0</v>
      </c>
      <c r="M415" s="4">
        <v>0</v>
      </c>
      <c r="N415" s="6">
        <f t="shared" si="61"/>
        <v>5.76</v>
      </c>
    </row>
    <row r="416" spans="1:14" ht="15.75" customHeight="1">
      <c r="A416" s="2">
        <v>45794</v>
      </c>
      <c r="B416" s="3" t="s">
        <v>33</v>
      </c>
      <c r="C416" s="4">
        <v>36</v>
      </c>
      <c r="D416" s="5">
        <v>18.11</v>
      </c>
      <c r="E416" s="4">
        <v>1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6">
        <f t="shared" si="61"/>
        <v>5.4329999999999998</v>
      </c>
    </row>
    <row r="417" spans="1:14" ht="15.75" customHeight="1">
      <c r="A417" s="2">
        <v>45668</v>
      </c>
      <c r="B417" s="3" t="s">
        <v>33</v>
      </c>
      <c r="C417" s="4">
        <v>50</v>
      </c>
      <c r="D417" s="5">
        <v>20.52</v>
      </c>
      <c r="E417" s="4">
        <v>2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6">
        <f>(E417*D417)*15%</f>
        <v>6.1559999999999997</v>
      </c>
    </row>
    <row r="418" spans="1:14" ht="15.75" customHeight="1">
      <c r="A418" s="2">
        <v>45717</v>
      </c>
      <c r="B418" s="3" t="s">
        <v>33</v>
      </c>
      <c r="C418" s="4">
        <v>43</v>
      </c>
      <c r="D418" s="5">
        <v>15.84</v>
      </c>
      <c r="E418" s="4">
        <v>2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6">
        <f>(E418*D418)*50%</f>
        <v>15.84</v>
      </c>
    </row>
    <row r="419" spans="1:14" ht="15.75" customHeight="1">
      <c r="A419" s="2">
        <v>45703</v>
      </c>
      <c r="B419" s="3" t="s">
        <v>33</v>
      </c>
      <c r="C419" s="4">
        <v>57</v>
      </c>
      <c r="D419" s="5">
        <v>17.809999999999999</v>
      </c>
      <c r="E419" s="4">
        <v>0</v>
      </c>
      <c r="F419" s="4">
        <v>0</v>
      </c>
      <c r="G419" s="4">
        <v>0</v>
      </c>
      <c r="H419" s="4">
        <v>1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</row>
    <row r="420" spans="1:14" ht="15.75" customHeight="1">
      <c r="A420" s="2">
        <v>45738</v>
      </c>
      <c r="B420" s="3" t="s">
        <v>33</v>
      </c>
      <c r="C420" s="4">
        <v>48</v>
      </c>
      <c r="D420" s="5">
        <v>18.989999999999998</v>
      </c>
      <c r="E420" s="4">
        <v>2</v>
      </c>
      <c r="F420" s="4">
        <v>0</v>
      </c>
      <c r="G420" s="4">
        <v>0</v>
      </c>
      <c r="H420" s="4">
        <v>1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6">
        <f>(E420*D420)*30%</f>
        <v>11.393999999999998</v>
      </c>
    </row>
    <row r="421" spans="1:14" ht="15.75" customHeight="1">
      <c r="A421" s="2">
        <v>45710</v>
      </c>
      <c r="B421" s="3" t="s">
        <v>33</v>
      </c>
      <c r="C421" s="4">
        <v>45</v>
      </c>
      <c r="D421" s="5">
        <v>17.11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</row>
    <row r="422" spans="1:14" ht="15.75" customHeight="1">
      <c r="A422" s="2">
        <v>45759</v>
      </c>
      <c r="B422" s="3" t="s">
        <v>33</v>
      </c>
      <c r="C422" s="4">
        <v>47</v>
      </c>
      <c r="D422" s="5">
        <v>19.420000000000002</v>
      </c>
      <c r="E422" s="4">
        <v>2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6">
        <f>(E422*D422)*30%</f>
        <v>11.652000000000001</v>
      </c>
    </row>
    <row r="423" spans="1:14" ht="15.75" customHeight="1">
      <c r="A423" s="2">
        <v>45766</v>
      </c>
      <c r="B423" s="3" t="s">
        <v>33</v>
      </c>
      <c r="C423" s="4">
        <v>40</v>
      </c>
      <c r="D423" s="5">
        <v>16.39</v>
      </c>
      <c r="E423" s="4">
        <v>2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6">
        <f t="shared" ref="N423:N425" si="62">(E423*D423)*15%</f>
        <v>4.9169999999999998</v>
      </c>
    </row>
    <row r="424" spans="1:14" ht="15.75" customHeight="1">
      <c r="A424" s="2">
        <v>45801</v>
      </c>
      <c r="B424" s="3" t="s">
        <v>33</v>
      </c>
      <c r="C424" s="4">
        <v>44</v>
      </c>
      <c r="D424" s="5">
        <v>15.5</v>
      </c>
      <c r="E424" s="4">
        <v>2</v>
      </c>
      <c r="F424" s="4">
        <v>0</v>
      </c>
      <c r="G424" s="4">
        <v>1</v>
      </c>
      <c r="H424" s="4">
        <v>1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6">
        <f t="shared" si="62"/>
        <v>4.6499999999999995</v>
      </c>
    </row>
    <row r="425" spans="1:14" ht="15.75" customHeight="1">
      <c r="A425" s="2">
        <v>45808</v>
      </c>
      <c r="B425" s="3" t="s">
        <v>33</v>
      </c>
      <c r="C425" s="4">
        <v>51</v>
      </c>
      <c r="D425" s="5">
        <v>16.71</v>
      </c>
      <c r="E425" s="4">
        <v>2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6">
        <f t="shared" si="62"/>
        <v>5.0129999999999999</v>
      </c>
    </row>
    <row r="426" spans="1:14" ht="15.75" customHeight="1">
      <c r="A426" s="2">
        <v>45724</v>
      </c>
      <c r="B426" s="3" t="s">
        <v>33</v>
      </c>
      <c r="C426" s="4">
        <v>52</v>
      </c>
      <c r="D426" s="5">
        <v>18.88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</row>
    <row r="427" spans="1:14" ht="15.75" customHeight="1">
      <c r="A427" s="2">
        <v>45661</v>
      </c>
      <c r="B427" s="3" t="s">
        <v>33</v>
      </c>
      <c r="C427" s="4">
        <v>49</v>
      </c>
      <c r="D427" s="5">
        <v>21.39</v>
      </c>
      <c r="E427" s="4">
        <v>3</v>
      </c>
      <c r="F427" s="4">
        <v>0</v>
      </c>
      <c r="G427" s="4">
        <v>0</v>
      </c>
      <c r="H427" s="4">
        <v>1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6">
        <f>(E427*D427)*15%</f>
        <v>9.6255000000000006</v>
      </c>
    </row>
    <row r="428" spans="1:14" ht="15.75" customHeight="1">
      <c r="A428" s="2">
        <v>45731</v>
      </c>
      <c r="B428" s="3" t="s">
        <v>33</v>
      </c>
      <c r="C428" s="4">
        <v>56</v>
      </c>
      <c r="D428" s="5">
        <v>16.73</v>
      </c>
      <c r="E428" s="4">
        <v>0</v>
      </c>
      <c r="F428" s="4">
        <v>0</v>
      </c>
      <c r="G428" s="4">
        <v>0</v>
      </c>
      <c r="H428" s="4">
        <v>1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</row>
    <row r="429" spans="1:14" ht="15.75" customHeight="1">
      <c r="A429" s="2">
        <v>45682</v>
      </c>
      <c r="B429" s="3" t="s">
        <v>33</v>
      </c>
      <c r="C429" s="4">
        <v>73</v>
      </c>
      <c r="D429" s="5">
        <v>18.46</v>
      </c>
      <c r="E429" s="4">
        <v>3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6">
        <f>(E429*D429)*50%</f>
        <v>27.69</v>
      </c>
    </row>
    <row r="430" spans="1:14" ht="15.75" customHeight="1">
      <c r="A430" s="2">
        <v>45745</v>
      </c>
      <c r="B430" s="3" t="s">
        <v>33</v>
      </c>
      <c r="C430" s="4">
        <v>50</v>
      </c>
      <c r="D430" s="5">
        <v>19.71</v>
      </c>
      <c r="E430" s="4">
        <v>3</v>
      </c>
      <c r="F430" s="4">
        <v>0</v>
      </c>
      <c r="G430" s="4">
        <v>0</v>
      </c>
      <c r="H430" s="4">
        <v>0</v>
      </c>
      <c r="I430" s="4">
        <v>1</v>
      </c>
      <c r="J430" s="4">
        <v>0</v>
      </c>
      <c r="K430" s="4">
        <v>0</v>
      </c>
      <c r="L430" s="4">
        <v>0</v>
      </c>
      <c r="M430" s="4">
        <v>0</v>
      </c>
      <c r="N430" s="6">
        <f>(E430*D430)*15%</f>
        <v>8.8695000000000004</v>
      </c>
    </row>
    <row r="431" spans="1:14" ht="15.75" customHeight="1">
      <c r="A431" s="2">
        <v>45752</v>
      </c>
      <c r="B431" s="3" t="s">
        <v>33</v>
      </c>
      <c r="C431" s="4">
        <v>38</v>
      </c>
      <c r="D431" s="5">
        <v>20.66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</row>
    <row r="432" spans="1:14" ht="15.75" customHeight="1">
      <c r="A432" s="2">
        <v>45780</v>
      </c>
      <c r="B432" s="3" t="s">
        <v>33</v>
      </c>
      <c r="C432" s="4">
        <v>52</v>
      </c>
      <c r="D432" s="5">
        <v>18.98</v>
      </c>
      <c r="E432" s="4">
        <v>3</v>
      </c>
      <c r="F432" s="4">
        <v>0</v>
      </c>
      <c r="G432" s="4">
        <v>0</v>
      </c>
      <c r="H432" s="4">
        <v>0</v>
      </c>
      <c r="I432" s="4">
        <v>1</v>
      </c>
      <c r="J432" s="4">
        <v>0</v>
      </c>
      <c r="K432" s="4">
        <v>0</v>
      </c>
      <c r="L432" s="4">
        <v>0</v>
      </c>
      <c r="M432" s="4">
        <v>0</v>
      </c>
      <c r="N432" s="6">
        <f>(E432*D432)*50%</f>
        <v>28.47</v>
      </c>
    </row>
    <row r="433" spans="1:14" ht="15.75" customHeight="1">
      <c r="A433" s="2">
        <v>44193</v>
      </c>
      <c r="B433" s="3" t="s">
        <v>33</v>
      </c>
      <c r="C433" s="4">
        <v>29</v>
      </c>
      <c r="D433" s="5">
        <v>22.23</v>
      </c>
      <c r="E433" s="4">
        <v>4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6">
        <f>(E433*D433)*30%</f>
        <v>26.675999999999998</v>
      </c>
    </row>
    <row r="434" spans="1:14" ht="15.75" customHeight="1">
      <c r="A434" s="2">
        <v>45675</v>
      </c>
      <c r="B434" s="3" t="s">
        <v>33</v>
      </c>
      <c r="C434" s="4">
        <v>101</v>
      </c>
      <c r="D434" s="5">
        <v>18.89</v>
      </c>
      <c r="E434" s="4">
        <v>4</v>
      </c>
      <c r="F434" s="4">
        <v>0</v>
      </c>
      <c r="G434" s="4">
        <v>0</v>
      </c>
      <c r="H434" s="4">
        <v>1</v>
      </c>
      <c r="I434" s="4">
        <v>1</v>
      </c>
      <c r="J434" s="4">
        <v>0</v>
      </c>
      <c r="K434" s="4">
        <v>0</v>
      </c>
      <c r="L434" s="4">
        <v>0</v>
      </c>
      <c r="M434" s="4">
        <v>0</v>
      </c>
      <c r="N434" s="6">
        <f>(E434*D434)*50%</f>
        <v>37.78</v>
      </c>
    </row>
    <row r="435" spans="1:14" ht="15.75" customHeight="1">
      <c r="A435" s="2">
        <v>45689</v>
      </c>
      <c r="B435" s="3" t="s">
        <v>33</v>
      </c>
      <c r="C435" s="4">
        <v>109</v>
      </c>
      <c r="D435" s="5">
        <v>16.29</v>
      </c>
      <c r="E435" s="4">
        <v>4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6">
        <f t="shared" ref="N435:N436" si="63">(E435*D435)*30%</f>
        <v>19.547999999999998</v>
      </c>
    </row>
    <row r="436" spans="1:14" ht="15.75" customHeight="1">
      <c r="A436" s="2">
        <v>45696</v>
      </c>
      <c r="B436" s="3" t="s">
        <v>33</v>
      </c>
      <c r="C436" s="4">
        <v>76</v>
      </c>
      <c r="D436" s="5">
        <v>18.600000000000001</v>
      </c>
      <c r="E436" s="4">
        <v>5</v>
      </c>
      <c r="F436" s="4">
        <v>0</v>
      </c>
      <c r="G436" s="4">
        <v>0</v>
      </c>
      <c r="H436" s="4">
        <v>1</v>
      </c>
      <c r="I436" s="4">
        <v>1</v>
      </c>
      <c r="J436" s="4">
        <v>0</v>
      </c>
      <c r="K436" s="4">
        <v>0</v>
      </c>
      <c r="L436" s="4">
        <v>0</v>
      </c>
      <c r="M436" s="4">
        <v>0</v>
      </c>
      <c r="N436" s="6">
        <f t="shared" si="63"/>
        <v>27.9</v>
      </c>
    </row>
    <row r="437" spans="1:14" ht="15.75" customHeight="1">
      <c r="A437" s="2">
        <v>44193</v>
      </c>
      <c r="B437" s="3" t="s">
        <v>34</v>
      </c>
      <c r="C437" s="4">
        <v>50</v>
      </c>
      <c r="D437" s="5">
        <v>17.98</v>
      </c>
      <c r="E437" s="4">
        <v>1</v>
      </c>
      <c r="F437" s="4">
        <v>0</v>
      </c>
      <c r="G437" s="4">
        <v>0</v>
      </c>
      <c r="H437" s="4">
        <v>1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6">
        <f>(E437*D437)*15%</f>
        <v>2.6970000000000001</v>
      </c>
    </row>
    <row r="438" spans="1:14" ht="15.75" customHeight="1">
      <c r="A438" s="2">
        <v>45661</v>
      </c>
      <c r="B438" s="3" t="s">
        <v>34</v>
      </c>
      <c r="C438" s="4">
        <v>141</v>
      </c>
      <c r="D438" s="5">
        <v>20.239999999999998</v>
      </c>
      <c r="E438" s="4">
        <v>2</v>
      </c>
      <c r="F438" s="4">
        <v>1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6">
        <f t="shared" ref="N438:N439" si="64">(E438*D438)*30%</f>
        <v>12.143999999999998</v>
      </c>
    </row>
    <row r="439" spans="1:14" ht="15.75" customHeight="1">
      <c r="A439" s="2">
        <v>45717</v>
      </c>
      <c r="B439" s="3" t="s">
        <v>34</v>
      </c>
      <c r="C439" s="4">
        <v>83</v>
      </c>
      <c r="D439" s="5">
        <v>18.59</v>
      </c>
      <c r="E439" s="4">
        <v>2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6">
        <f t="shared" si="64"/>
        <v>11.154</v>
      </c>
    </row>
    <row r="440" spans="1:14" ht="15.75" customHeight="1">
      <c r="A440" s="2">
        <v>45773</v>
      </c>
      <c r="B440" s="3" t="s">
        <v>34</v>
      </c>
      <c r="C440" s="4">
        <v>99</v>
      </c>
      <c r="D440" s="5">
        <v>18.48</v>
      </c>
      <c r="E440" s="4">
        <v>2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6">
        <f>(E440*D440)*50%</f>
        <v>18.48</v>
      </c>
    </row>
    <row r="441" spans="1:14" ht="15.75" customHeight="1">
      <c r="A441" s="2">
        <v>45724</v>
      </c>
      <c r="B441" s="3" t="s">
        <v>34</v>
      </c>
      <c r="C441" s="4">
        <v>98</v>
      </c>
      <c r="D441" s="5">
        <v>18.489999999999998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</row>
    <row r="442" spans="1:14" ht="15.75" customHeight="1">
      <c r="A442" s="2">
        <v>45738</v>
      </c>
      <c r="B442" s="3" t="s">
        <v>34</v>
      </c>
      <c r="C442" s="4">
        <v>99</v>
      </c>
      <c r="D442" s="5">
        <v>17.47</v>
      </c>
      <c r="E442" s="4">
        <v>3</v>
      </c>
      <c r="F442" s="4">
        <v>0</v>
      </c>
      <c r="G442" s="4">
        <v>0</v>
      </c>
      <c r="H442" s="4">
        <v>1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6">
        <f t="shared" ref="N442:N444" si="65">(E442*D442)*15%</f>
        <v>7.8614999999999995</v>
      </c>
    </row>
    <row r="443" spans="1:14" ht="15.75" customHeight="1">
      <c r="A443" s="2">
        <v>45759</v>
      </c>
      <c r="B443" s="3" t="s">
        <v>34</v>
      </c>
      <c r="C443" s="4">
        <v>98</v>
      </c>
      <c r="D443" s="5">
        <v>18.149999999999999</v>
      </c>
      <c r="E443" s="4">
        <v>3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6">
        <f t="shared" si="65"/>
        <v>8.1674999999999986</v>
      </c>
    </row>
    <row r="444" spans="1:14" ht="15.75" customHeight="1">
      <c r="A444" s="2">
        <v>45801</v>
      </c>
      <c r="B444" s="3" t="s">
        <v>34</v>
      </c>
      <c r="C444" s="4">
        <v>108</v>
      </c>
      <c r="D444" s="5">
        <v>19.53</v>
      </c>
      <c r="E444" s="4">
        <v>3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1</v>
      </c>
      <c r="M444" s="4">
        <v>0</v>
      </c>
      <c r="N444" s="6">
        <f t="shared" si="65"/>
        <v>8.7885000000000009</v>
      </c>
    </row>
    <row r="445" spans="1:14" ht="15.75" customHeight="1">
      <c r="A445" s="2">
        <v>45766</v>
      </c>
      <c r="B445" s="3" t="s">
        <v>34</v>
      </c>
      <c r="C445" s="4">
        <v>99</v>
      </c>
      <c r="D445" s="5">
        <v>16.690000000000001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</row>
    <row r="446" spans="1:14" ht="15.75" customHeight="1">
      <c r="A446" s="2">
        <v>45794</v>
      </c>
      <c r="B446" s="3" t="s">
        <v>34</v>
      </c>
      <c r="C446" s="4">
        <v>115</v>
      </c>
      <c r="D446" s="5">
        <v>18.02</v>
      </c>
      <c r="E446" s="4">
        <v>4</v>
      </c>
      <c r="F446" s="4">
        <v>0</v>
      </c>
      <c r="G446" s="4">
        <v>0</v>
      </c>
      <c r="H446" s="4">
        <v>1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6">
        <f t="shared" ref="N446:N447" si="66">(E446*D446)*15%</f>
        <v>10.811999999999999</v>
      </c>
    </row>
    <row r="447" spans="1:14" ht="15.75" customHeight="1">
      <c r="A447" s="2">
        <v>45696</v>
      </c>
      <c r="B447" s="3" t="s">
        <v>34</v>
      </c>
      <c r="C447" s="4">
        <v>138</v>
      </c>
      <c r="D447" s="5">
        <v>19.100000000000001</v>
      </c>
      <c r="E447" s="4">
        <v>5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6">
        <f t="shared" si="66"/>
        <v>14.324999999999999</v>
      </c>
    </row>
    <row r="448" spans="1:14" ht="15.75" customHeight="1">
      <c r="A448" s="2">
        <v>45731</v>
      </c>
      <c r="B448" s="3" t="s">
        <v>34</v>
      </c>
      <c r="C448" s="4">
        <v>98</v>
      </c>
      <c r="D448" s="5">
        <v>18.690000000000001</v>
      </c>
      <c r="E448" s="4">
        <v>5</v>
      </c>
      <c r="F448" s="4">
        <v>0</v>
      </c>
      <c r="G448" s="4">
        <v>0</v>
      </c>
      <c r="H448" s="4">
        <v>0</v>
      </c>
      <c r="I448" s="4">
        <v>1</v>
      </c>
      <c r="J448" s="4">
        <v>0</v>
      </c>
      <c r="K448" s="4">
        <v>0</v>
      </c>
      <c r="L448" s="4">
        <v>0</v>
      </c>
      <c r="M448" s="4">
        <v>0</v>
      </c>
      <c r="N448" s="6">
        <f>(E448*D448)*50%</f>
        <v>46.725000000000001</v>
      </c>
    </row>
    <row r="449" spans="1:14" ht="15.75" customHeight="1">
      <c r="A449" s="2">
        <v>45780</v>
      </c>
      <c r="B449" s="3" t="s">
        <v>34</v>
      </c>
      <c r="C449" s="4">
        <v>120</v>
      </c>
      <c r="D449" s="5">
        <v>18.82</v>
      </c>
      <c r="E449" s="4">
        <v>5</v>
      </c>
      <c r="F449" s="4">
        <v>0</v>
      </c>
      <c r="G449" s="4">
        <v>0</v>
      </c>
      <c r="H449" s="4">
        <v>1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6">
        <f>(E449*D449)*15%</f>
        <v>14.114999999999998</v>
      </c>
    </row>
    <row r="450" spans="1:14" ht="15.75" customHeight="1">
      <c r="A450" s="2">
        <v>45689</v>
      </c>
      <c r="B450" s="3" t="s">
        <v>34</v>
      </c>
      <c r="C450" s="4">
        <v>130</v>
      </c>
      <c r="D450" s="5">
        <v>17.77</v>
      </c>
      <c r="E450" s="4">
        <v>6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6">
        <f>(E450*D450)*50%</f>
        <v>53.31</v>
      </c>
    </row>
    <row r="451" spans="1:14" ht="15.75" customHeight="1">
      <c r="A451" s="2">
        <v>45703</v>
      </c>
      <c r="B451" s="3" t="s">
        <v>34</v>
      </c>
      <c r="C451" s="4">
        <v>106</v>
      </c>
      <c r="D451" s="5">
        <v>18.329999999999998</v>
      </c>
      <c r="E451" s="4">
        <v>6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6">
        <f>(E451*D451)*30%</f>
        <v>32.993999999999993</v>
      </c>
    </row>
    <row r="452" spans="1:14" ht="15.75" customHeight="1">
      <c r="A452" s="2">
        <v>45710</v>
      </c>
      <c r="B452" s="3" t="s">
        <v>34</v>
      </c>
      <c r="C452" s="4">
        <v>102</v>
      </c>
      <c r="D452" s="5">
        <v>20.059999999999999</v>
      </c>
      <c r="E452" s="4">
        <v>6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6">
        <f>(E452*D452)*15%</f>
        <v>18.053999999999998</v>
      </c>
    </row>
    <row r="453" spans="1:14" ht="15.75" customHeight="1">
      <c r="A453" s="2">
        <v>45745</v>
      </c>
      <c r="B453" s="3" t="s">
        <v>34</v>
      </c>
      <c r="C453" s="4">
        <v>85</v>
      </c>
      <c r="D453" s="5">
        <v>20.93</v>
      </c>
      <c r="E453" s="4">
        <v>6</v>
      </c>
      <c r="F453" s="4">
        <v>0</v>
      </c>
      <c r="G453" s="4">
        <v>0</v>
      </c>
      <c r="H453" s="4">
        <v>0</v>
      </c>
      <c r="I453" s="4">
        <v>1</v>
      </c>
      <c r="J453" s="4">
        <v>0</v>
      </c>
      <c r="K453" s="4">
        <v>0</v>
      </c>
      <c r="L453" s="4">
        <v>0</v>
      </c>
      <c r="M453" s="4">
        <v>1</v>
      </c>
      <c r="N453" s="6">
        <f t="shared" ref="N453:N455" si="67">(E453*D453)*30%</f>
        <v>37.673999999999999</v>
      </c>
    </row>
    <row r="454" spans="1:14" ht="15.75" customHeight="1">
      <c r="A454" s="2">
        <v>45787</v>
      </c>
      <c r="B454" s="3" t="s">
        <v>34</v>
      </c>
      <c r="C454" s="4">
        <v>128</v>
      </c>
      <c r="D454" s="5">
        <v>19.09</v>
      </c>
      <c r="E454" s="4">
        <v>6</v>
      </c>
      <c r="F454" s="4">
        <v>0</v>
      </c>
      <c r="G454" s="4">
        <v>0</v>
      </c>
      <c r="H454" s="4">
        <v>1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6">
        <f t="shared" si="67"/>
        <v>34.361999999999995</v>
      </c>
    </row>
    <row r="455" spans="1:14" ht="15.75" customHeight="1">
      <c r="A455" s="2">
        <v>45808</v>
      </c>
      <c r="B455" s="3" t="s">
        <v>34</v>
      </c>
      <c r="C455" s="4">
        <v>122</v>
      </c>
      <c r="D455" s="5">
        <v>17.8</v>
      </c>
      <c r="E455" s="4">
        <v>6</v>
      </c>
      <c r="F455" s="4">
        <v>0</v>
      </c>
      <c r="G455" s="4">
        <v>1</v>
      </c>
      <c r="H455" s="4">
        <v>1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6">
        <f t="shared" si="67"/>
        <v>32.04</v>
      </c>
    </row>
    <row r="456" spans="1:14" ht="15.75" customHeight="1">
      <c r="A456" s="2">
        <v>45668</v>
      </c>
      <c r="B456" s="3" t="s">
        <v>34</v>
      </c>
      <c r="C456" s="4">
        <v>81</v>
      </c>
      <c r="D456" s="5">
        <v>19.05</v>
      </c>
      <c r="E456" s="4">
        <v>7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6">
        <f>(E456*D456)*15%</f>
        <v>20.002499999999998</v>
      </c>
    </row>
    <row r="457" spans="1:14" ht="15.75" customHeight="1">
      <c r="A457" s="2">
        <v>45752</v>
      </c>
      <c r="B457" s="3" t="s">
        <v>34</v>
      </c>
      <c r="C457" s="4">
        <v>95</v>
      </c>
      <c r="D457" s="5">
        <v>19.170000000000002</v>
      </c>
      <c r="E457" s="4">
        <v>8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6">
        <f>(E457*D457)*30%</f>
        <v>46.008000000000003</v>
      </c>
    </row>
    <row r="458" spans="1:14" ht="15.75" customHeight="1">
      <c r="A458" s="2">
        <v>45682</v>
      </c>
      <c r="B458" s="3" t="s">
        <v>34</v>
      </c>
      <c r="C458" s="4">
        <v>147</v>
      </c>
      <c r="D458" s="5">
        <v>18.23</v>
      </c>
      <c r="E458" s="4">
        <v>11</v>
      </c>
      <c r="F458" s="4">
        <v>0</v>
      </c>
      <c r="G458" s="4">
        <v>0</v>
      </c>
      <c r="H458" s="4">
        <v>1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6">
        <f>(E458*D458)*15%</f>
        <v>30.079499999999999</v>
      </c>
    </row>
    <row r="459" spans="1:14" ht="15.75" customHeight="1">
      <c r="A459" s="2">
        <v>45675</v>
      </c>
      <c r="B459" s="3" t="s">
        <v>34</v>
      </c>
      <c r="C459" s="4">
        <v>196</v>
      </c>
      <c r="D459" s="5">
        <v>17.25</v>
      </c>
      <c r="E459" s="4">
        <v>12</v>
      </c>
      <c r="F459" s="4">
        <v>0</v>
      </c>
      <c r="G459" s="4">
        <v>0</v>
      </c>
      <c r="H459" s="4">
        <v>0</v>
      </c>
      <c r="I459" s="4">
        <v>1</v>
      </c>
      <c r="J459" s="4">
        <v>0</v>
      </c>
      <c r="K459" s="4">
        <v>0</v>
      </c>
      <c r="L459" s="4">
        <v>0</v>
      </c>
      <c r="M459" s="4">
        <v>0</v>
      </c>
      <c r="N459" s="6">
        <f>(E459*D459)*30%</f>
        <v>62.099999999999994</v>
      </c>
    </row>
    <row r="460" spans="1:14" ht="15.75" customHeight="1">
      <c r="A460" s="2">
        <v>44193</v>
      </c>
      <c r="B460" s="3" t="s">
        <v>35</v>
      </c>
      <c r="C460" s="4">
        <v>19</v>
      </c>
      <c r="D460" s="5">
        <v>18.39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</row>
    <row r="461" spans="1:14" ht="15.75" customHeight="1">
      <c r="A461" s="2">
        <v>45661</v>
      </c>
      <c r="B461" s="3" t="s">
        <v>35</v>
      </c>
      <c r="C461" s="4">
        <v>39</v>
      </c>
      <c r="D461" s="5">
        <v>20.76</v>
      </c>
      <c r="E461" s="4">
        <v>1</v>
      </c>
      <c r="F461" s="4">
        <v>0</v>
      </c>
      <c r="G461" s="4">
        <v>0</v>
      </c>
      <c r="H461" s="4">
        <v>1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6">
        <f t="shared" ref="N461:N462" si="68">(E461*D461)*80%</f>
        <v>16.608000000000001</v>
      </c>
    </row>
    <row r="462" spans="1:14" ht="15.75" customHeight="1">
      <c r="A462" s="2">
        <v>45668</v>
      </c>
      <c r="B462" s="3" t="s">
        <v>35</v>
      </c>
      <c r="C462" s="4">
        <v>16</v>
      </c>
      <c r="D462" s="5">
        <v>20.63</v>
      </c>
      <c r="E462" s="4">
        <v>1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6">
        <f t="shared" si="68"/>
        <v>16.504000000000001</v>
      </c>
    </row>
    <row r="463" spans="1:14" ht="15.75" customHeight="1">
      <c r="A463" s="2">
        <v>45689</v>
      </c>
      <c r="B463" s="3" t="s">
        <v>35</v>
      </c>
      <c r="C463" s="4">
        <v>26</v>
      </c>
      <c r="D463" s="5">
        <v>15.66</v>
      </c>
      <c r="E463" s="4">
        <v>1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6">
        <f t="shared" ref="N463:N464" si="69">(E463*D463)*50%</f>
        <v>7.83</v>
      </c>
    </row>
    <row r="464" spans="1:14" ht="15.75" customHeight="1">
      <c r="A464" s="2">
        <v>45703</v>
      </c>
      <c r="B464" s="3" t="s">
        <v>35</v>
      </c>
      <c r="C464" s="4">
        <v>20</v>
      </c>
      <c r="D464" s="5">
        <v>23.25</v>
      </c>
      <c r="E464" s="4">
        <v>1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6">
        <f t="shared" si="69"/>
        <v>11.625</v>
      </c>
    </row>
    <row r="465" spans="1:14" ht="15.75" customHeight="1">
      <c r="A465" s="2">
        <v>45675</v>
      </c>
      <c r="B465" s="3" t="s">
        <v>35</v>
      </c>
      <c r="C465" s="4">
        <v>48</v>
      </c>
      <c r="D465" s="5">
        <v>17.04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2</v>
      </c>
      <c r="M465" s="4">
        <v>0</v>
      </c>
    </row>
    <row r="466" spans="1:14" ht="15.75" customHeight="1">
      <c r="A466" s="2">
        <v>45682</v>
      </c>
      <c r="B466" s="3" t="s">
        <v>35</v>
      </c>
      <c r="C466" s="4">
        <v>31</v>
      </c>
      <c r="D466" s="5">
        <v>17.64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</row>
    <row r="467" spans="1:14" ht="15.75" customHeight="1">
      <c r="A467" s="2">
        <v>45780</v>
      </c>
      <c r="B467" s="3" t="s">
        <v>35</v>
      </c>
      <c r="C467" s="4">
        <v>28</v>
      </c>
      <c r="D467" s="5">
        <v>18.02</v>
      </c>
      <c r="E467" s="4">
        <v>1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6">
        <f>(E467*D467)*15%</f>
        <v>2.7029999999999998</v>
      </c>
    </row>
    <row r="468" spans="1:14" ht="15.75" customHeight="1">
      <c r="A468" s="2">
        <v>45787</v>
      </c>
      <c r="B468" s="3" t="s">
        <v>35</v>
      </c>
      <c r="C468" s="4">
        <v>17</v>
      </c>
      <c r="D468" s="5">
        <v>20.21</v>
      </c>
      <c r="E468" s="4">
        <v>1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6">
        <f>(E468*D468)*50%</f>
        <v>10.105</v>
      </c>
    </row>
    <row r="469" spans="1:14" ht="15.75" customHeight="1">
      <c r="A469" s="2">
        <v>45696</v>
      </c>
      <c r="B469" s="3" t="s">
        <v>35</v>
      </c>
      <c r="C469" s="4">
        <v>20</v>
      </c>
      <c r="D469" s="5">
        <v>16.02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</row>
    <row r="470" spans="1:14" ht="15.75" customHeight="1">
      <c r="A470" s="2">
        <v>45710</v>
      </c>
      <c r="B470" s="3" t="s">
        <v>35</v>
      </c>
      <c r="C470" s="4">
        <v>15</v>
      </c>
      <c r="D470" s="5">
        <v>15.42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</row>
    <row r="471" spans="1:14" ht="15.75" customHeight="1">
      <c r="A471" s="2">
        <v>45717</v>
      </c>
      <c r="B471" s="3" t="s">
        <v>35</v>
      </c>
      <c r="C471" s="4">
        <v>30</v>
      </c>
      <c r="D471" s="5">
        <v>19.11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</row>
    <row r="472" spans="1:14" ht="15.75" customHeight="1">
      <c r="A472" s="2">
        <v>45724</v>
      </c>
      <c r="B472" s="3" t="s">
        <v>35</v>
      </c>
      <c r="C472" s="4">
        <v>25</v>
      </c>
      <c r="D472" s="5">
        <v>17.73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</row>
    <row r="473" spans="1:14" ht="15.75" customHeight="1">
      <c r="A473" s="2">
        <v>45731</v>
      </c>
      <c r="B473" s="3" t="s">
        <v>35</v>
      </c>
      <c r="C473" s="4">
        <v>19</v>
      </c>
      <c r="D473" s="5">
        <v>16.82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</row>
    <row r="474" spans="1:14" ht="15.75" customHeight="1">
      <c r="A474" s="2">
        <v>45738</v>
      </c>
      <c r="B474" s="3" t="s">
        <v>35</v>
      </c>
      <c r="C474" s="4">
        <v>20</v>
      </c>
      <c r="D474" s="5">
        <v>14.37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</row>
    <row r="475" spans="1:14" ht="15.75" customHeight="1">
      <c r="A475" s="2">
        <v>45745</v>
      </c>
      <c r="B475" s="3" t="s">
        <v>35</v>
      </c>
      <c r="C475" s="4">
        <v>29</v>
      </c>
      <c r="D475" s="5">
        <v>17.75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</row>
    <row r="476" spans="1:14" ht="15.75" customHeight="1">
      <c r="A476" s="2">
        <v>45752</v>
      </c>
      <c r="B476" s="3" t="s">
        <v>35</v>
      </c>
      <c r="C476" s="4">
        <v>24</v>
      </c>
      <c r="D476" s="5">
        <v>17.68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</row>
    <row r="477" spans="1:14" ht="15.75" customHeight="1">
      <c r="A477" s="2">
        <v>45759</v>
      </c>
      <c r="B477" s="3" t="s">
        <v>35</v>
      </c>
      <c r="C477" s="4">
        <v>25</v>
      </c>
      <c r="D477" s="5">
        <v>18.12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</row>
    <row r="478" spans="1:14" ht="15.75" customHeight="1">
      <c r="A478" s="2">
        <v>45766</v>
      </c>
      <c r="B478" s="3" t="s">
        <v>35</v>
      </c>
      <c r="C478" s="4">
        <v>32</v>
      </c>
      <c r="D478" s="5">
        <v>18.03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</row>
    <row r="479" spans="1:14" ht="15.75" customHeight="1">
      <c r="A479" s="2">
        <v>45773</v>
      </c>
      <c r="B479" s="3" t="s">
        <v>35</v>
      </c>
      <c r="C479" s="4">
        <v>17</v>
      </c>
      <c r="D479" s="5">
        <v>18.11</v>
      </c>
      <c r="E479" s="4">
        <v>0</v>
      </c>
      <c r="F479" s="4">
        <v>0</v>
      </c>
      <c r="G479" s="4">
        <v>0</v>
      </c>
      <c r="H479" s="4">
        <v>0</v>
      </c>
      <c r="I479" s="4">
        <v>1</v>
      </c>
      <c r="J479" s="4">
        <v>0</v>
      </c>
      <c r="K479" s="4">
        <v>0</v>
      </c>
      <c r="L479" s="4">
        <v>0</v>
      </c>
      <c r="M479" s="4">
        <v>0</v>
      </c>
    </row>
    <row r="480" spans="1:14" ht="15.75" customHeight="1">
      <c r="A480" s="2">
        <v>45794</v>
      </c>
      <c r="B480" s="3" t="s">
        <v>35</v>
      </c>
      <c r="C480" s="4">
        <v>13</v>
      </c>
      <c r="D480" s="5">
        <v>16.98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</row>
    <row r="481" spans="1:14" ht="15.75" customHeight="1">
      <c r="A481" s="2">
        <v>45801</v>
      </c>
      <c r="B481" s="3" t="s">
        <v>35</v>
      </c>
      <c r="C481" s="4">
        <v>3</v>
      </c>
      <c r="D481" s="5">
        <v>12.17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3</v>
      </c>
      <c r="M481" s="4">
        <v>0</v>
      </c>
    </row>
    <row r="482" spans="1:14" ht="15.75" customHeight="1">
      <c r="A482" s="2">
        <v>45808</v>
      </c>
      <c r="B482" s="3" t="s">
        <v>35</v>
      </c>
      <c r="C482" s="4">
        <v>0</v>
      </c>
      <c r="D482" s="3"/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3</v>
      </c>
      <c r="M482" s="4">
        <v>0</v>
      </c>
    </row>
    <row r="483" spans="1:14" ht="15.75" customHeight="1">
      <c r="A483" s="2">
        <v>45689</v>
      </c>
      <c r="B483" s="3" t="s">
        <v>36</v>
      </c>
      <c r="C483" s="4">
        <v>33</v>
      </c>
      <c r="D483" s="5">
        <v>25.47</v>
      </c>
      <c r="E483" s="4">
        <v>1</v>
      </c>
      <c r="F483" s="4">
        <v>0</v>
      </c>
      <c r="G483" s="4">
        <v>1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6">
        <f t="shared" ref="N483:N486" si="70">(E483*D483)*30%</f>
        <v>7.6409999999999991</v>
      </c>
    </row>
    <row r="484" spans="1:14" ht="15.75" customHeight="1">
      <c r="A484" s="2">
        <v>45696</v>
      </c>
      <c r="B484" s="3" t="s">
        <v>36</v>
      </c>
      <c r="C484" s="4">
        <v>27</v>
      </c>
      <c r="D484" s="5">
        <v>23.33</v>
      </c>
      <c r="E484" s="4">
        <v>1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6">
        <f t="shared" si="70"/>
        <v>6.9989999999999997</v>
      </c>
    </row>
    <row r="485" spans="1:14" ht="15.75" customHeight="1">
      <c r="A485" s="2">
        <v>45703</v>
      </c>
      <c r="B485" s="3" t="s">
        <v>36</v>
      </c>
      <c r="C485" s="4">
        <v>25</v>
      </c>
      <c r="D485" s="5">
        <v>25.73</v>
      </c>
      <c r="E485" s="4">
        <v>1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6">
        <f t="shared" si="70"/>
        <v>7.7189999999999994</v>
      </c>
    </row>
    <row r="486" spans="1:14" ht="15.75" customHeight="1">
      <c r="A486" s="2">
        <v>45717</v>
      </c>
      <c r="B486" s="3" t="s">
        <v>36</v>
      </c>
      <c r="C486" s="4">
        <v>23</v>
      </c>
      <c r="D486" s="5">
        <v>26.19</v>
      </c>
      <c r="E486" s="4">
        <v>1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6">
        <f t="shared" si="70"/>
        <v>7.8570000000000002</v>
      </c>
    </row>
    <row r="487" spans="1:14" ht="15.75" customHeight="1">
      <c r="A487" s="2">
        <v>45724</v>
      </c>
      <c r="B487" s="3" t="s">
        <v>36</v>
      </c>
      <c r="C487" s="4">
        <v>17</v>
      </c>
      <c r="D487" s="5">
        <v>16.82</v>
      </c>
      <c r="E487" s="4">
        <v>1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6">
        <f>(E487*D487)*15%</f>
        <v>2.5230000000000001</v>
      </c>
    </row>
    <row r="488" spans="1:14" ht="15.75" customHeight="1">
      <c r="A488" s="2">
        <v>45759</v>
      </c>
      <c r="B488" s="3" t="s">
        <v>36</v>
      </c>
      <c r="C488" s="4">
        <v>12</v>
      </c>
      <c r="D488" s="5">
        <v>23.36</v>
      </c>
      <c r="E488" s="4">
        <v>1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6">
        <f>(E488*D488)*30%</f>
        <v>7.008</v>
      </c>
    </row>
    <row r="489" spans="1:14" ht="15.75" customHeight="1">
      <c r="A489" s="2">
        <v>45787</v>
      </c>
      <c r="B489" s="3" t="s">
        <v>36</v>
      </c>
      <c r="C489" s="4">
        <v>32</v>
      </c>
      <c r="D489" s="5">
        <v>21.7</v>
      </c>
      <c r="E489" s="4">
        <v>1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6">
        <f>(E489*D489)*50%</f>
        <v>10.85</v>
      </c>
    </row>
    <row r="490" spans="1:14" ht="15.75" customHeight="1">
      <c r="A490" s="2">
        <v>45682</v>
      </c>
      <c r="B490" s="3" t="s">
        <v>36</v>
      </c>
      <c r="C490" s="4">
        <v>41</v>
      </c>
      <c r="D490" s="5">
        <v>23.15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4</v>
      </c>
      <c r="M490" s="4">
        <v>0</v>
      </c>
    </row>
    <row r="491" spans="1:14" ht="15.75" customHeight="1">
      <c r="A491" s="2">
        <v>45794</v>
      </c>
      <c r="B491" s="3" t="s">
        <v>36</v>
      </c>
      <c r="C491" s="4">
        <v>20</v>
      </c>
      <c r="D491" s="5">
        <v>20.87</v>
      </c>
      <c r="E491" s="4">
        <v>1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6">
        <f>(E491*D491)*30%</f>
        <v>6.2610000000000001</v>
      </c>
    </row>
    <row r="492" spans="1:14" ht="15.75" customHeight="1">
      <c r="A492" s="2">
        <v>45675</v>
      </c>
      <c r="B492" s="3" t="s">
        <v>36</v>
      </c>
      <c r="C492" s="4">
        <v>64</v>
      </c>
      <c r="D492" s="5">
        <v>22.27</v>
      </c>
      <c r="E492" s="4">
        <v>2</v>
      </c>
      <c r="F492" s="4">
        <v>0</v>
      </c>
      <c r="G492" s="4">
        <v>0</v>
      </c>
      <c r="H492" s="4">
        <v>1</v>
      </c>
      <c r="I492" s="4">
        <v>0</v>
      </c>
      <c r="J492" s="4">
        <v>0</v>
      </c>
      <c r="K492" s="4">
        <v>0</v>
      </c>
      <c r="L492" s="4">
        <v>4</v>
      </c>
      <c r="M492" s="4">
        <v>0</v>
      </c>
      <c r="N492" s="6">
        <f>(E492*D492)*15%</f>
        <v>6.681</v>
      </c>
    </row>
    <row r="493" spans="1:14" ht="15.75" customHeight="1">
      <c r="A493" s="2">
        <v>45710</v>
      </c>
      <c r="B493" s="3" t="s">
        <v>36</v>
      </c>
      <c r="C493" s="4">
        <v>22</v>
      </c>
      <c r="D493" s="5">
        <v>25.02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</row>
    <row r="494" spans="1:14" ht="15.75" customHeight="1">
      <c r="A494" s="2">
        <v>45752</v>
      </c>
      <c r="B494" s="3" t="s">
        <v>36</v>
      </c>
      <c r="C494" s="4">
        <v>18</v>
      </c>
      <c r="D494" s="5">
        <v>23.96</v>
      </c>
      <c r="E494" s="4">
        <v>2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6">
        <f>(E494*D494)*30%</f>
        <v>14.375999999999999</v>
      </c>
    </row>
    <row r="495" spans="1:14" ht="15.75" customHeight="1">
      <c r="A495" s="2">
        <v>45801</v>
      </c>
      <c r="B495" s="3" t="s">
        <v>36</v>
      </c>
      <c r="C495" s="4">
        <v>18</v>
      </c>
      <c r="D495" s="5">
        <v>20.329999999999998</v>
      </c>
      <c r="E495" s="4">
        <v>2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6">
        <f>(E495*D495)*15%</f>
        <v>6.0989999999999993</v>
      </c>
    </row>
    <row r="496" spans="1:14" ht="15.75" customHeight="1">
      <c r="A496" s="2">
        <v>45731</v>
      </c>
      <c r="B496" s="3" t="s">
        <v>36</v>
      </c>
      <c r="C496" s="4">
        <v>31</v>
      </c>
      <c r="D496" s="5">
        <v>20.52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</row>
    <row r="497" spans="1:13" ht="15.75" customHeight="1">
      <c r="A497" s="2">
        <v>45738</v>
      </c>
      <c r="B497" s="3" t="s">
        <v>36</v>
      </c>
      <c r="C497" s="4">
        <v>22</v>
      </c>
      <c r="D497" s="5">
        <v>17.87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</row>
    <row r="498" spans="1:13" ht="15.75" customHeight="1">
      <c r="A498" s="2">
        <v>45745</v>
      </c>
      <c r="B498" s="3" t="s">
        <v>36</v>
      </c>
      <c r="C498" s="4">
        <v>26</v>
      </c>
      <c r="D498" s="5">
        <v>24.22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</row>
    <row r="499" spans="1:13" ht="15.75" customHeight="1">
      <c r="A499" s="2">
        <v>45766</v>
      </c>
      <c r="B499" s="3" t="s">
        <v>36</v>
      </c>
      <c r="C499" s="4">
        <v>22</v>
      </c>
      <c r="D499" s="5">
        <v>24.02</v>
      </c>
      <c r="E499" s="4">
        <v>0</v>
      </c>
      <c r="F499" s="4">
        <v>0</v>
      </c>
      <c r="G499" s="4">
        <v>0</v>
      </c>
      <c r="H499" s="4">
        <v>1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</row>
    <row r="500" spans="1:13" ht="15.75" customHeight="1">
      <c r="A500" s="2">
        <v>45773</v>
      </c>
      <c r="B500" s="3" t="s">
        <v>36</v>
      </c>
      <c r="C500" s="4">
        <v>21</v>
      </c>
      <c r="D500" s="5">
        <v>23.31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</row>
    <row r="501" spans="1:13" ht="15.75" customHeight="1">
      <c r="A501" s="2">
        <v>45780</v>
      </c>
      <c r="B501" s="3" t="s">
        <v>36</v>
      </c>
      <c r="C501" s="4">
        <v>16</v>
      </c>
      <c r="D501" s="5">
        <v>22.83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</row>
    <row r="502" spans="1:13" ht="15.75" customHeight="1"/>
    <row r="503" spans="1:13" ht="15.75" customHeight="1"/>
    <row r="504" spans="1:13" ht="15.75" customHeight="1"/>
    <row r="505" spans="1:13" ht="15.75" customHeight="1"/>
    <row r="506" spans="1:13" ht="15.75" customHeight="1"/>
    <row r="507" spans="1:13" ht="15.75" customHeight="1"/>
    <row r="508" spans="1:13" ht="15.75" customHeight="1"/>
    <row r="509" spans="1:13" ht="15.75" customHeight="1"/>
    <row r="510" spans="1:13" ht="15.75" customHeight="1"/>
    <row r="511" spans="1:13" ht="15.75" customHeight="1"/>
    <row r="512" spans="1:1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PowerNation</cp:lastModifiedBy>
  <dcterms:modified xsi:type="dcterms:W3CDTF">2026-02-24T08:53:37Z</dcterms:modified>
</cp:coreProperties>
</file>